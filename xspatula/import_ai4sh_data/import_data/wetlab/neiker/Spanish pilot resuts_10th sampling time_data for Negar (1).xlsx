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 muestras" sheetId="1" r:id="rId4"/>
    <sheet state="visible" name="IRGA" sheetId="2" r:id="rId5"/>
    <sheet state="visible" name="Penetrologger" sheetId="3" r:id="rId6"/>
    <sheet state="visible" name="Macrofauna" sheetId="4" r:id="rId7"/>
    <sheet state="visible" name="Microbiometer" sheetId="5" r:id="rId8"/>
    <sheet state="visible" name="Slakes" sheetId="6" r:id="rId9"/>
    <sheet state="visible" name="DigitSoil" sheetId="7" r:id="rId10"/>
    <sheet state="visible" name="BASIC lab analyses NEIKER" sheetId="8" r:id="rId11"/>
  </sheets>
  <definedNames/>
  <calcPr/>
  <extLst>
    <ext uri="GoogleSheetsCustomDataVersion2">
      <go:sheetsCustomData xmlns:go="http://customooxmlschemas.google.com/" r:id="rId12" roundtripDataChecksum="W2gUz2C2kvVpkORl16y9a+maJilsT4+RF27l3QoOz7U="/>
    </ext>
  </extLst>
</workbook>
</file>

<file path=xl/sharedStrings.xml><?xml version="1.0" encoding="utf-8"?>
<sst xmlns="http://schemas.openxmlformats.org/spreadsheetml/2006/main" count="541" uniqueCount="276">
  <si>
    <t>Fecha</t>
  </si>
  <si>
    <t>coordenadas</t>
  </si>
  <si>
    <t>muestreo</t>
  </si>
  <si>
    <t>Muestras</t>
  </si>
  <si>
    <t>LIMS</t>
  </si>
  <si>
    <t>nº de muestreo</t>
  </si>
  <si>
    <t>parcela</t>
  </si>
  <si>
    <t>profundidad</t>
  </si>
  <si>
    <t>manejo</t>
  </si>
  <si>
    <t>ID</t>
  </si>
  <si>
    <t>xcoord</t>
  </si>
  <si>
    <t>ycoord</t>
  </si>
  <si>
    <t>zcoord</t>
  </si>
  <si>
    <t>24_10991</t>
  </si>
  <si>
    <t>0-20</t>
  </si>
  <si>
    <t>rotacional</t>
  </si>
  <si>
    <t xml:space="preserve">A </t>
  </si>
  <si>
    <t>10.1A</t>
  </si>
  <si>
    <t>24_10992</t>
  </si>
  <si>
    <t>20-50</t>
  </si>
  <si>
    <t>B</t>
  </si>
  <si>
    <t>10.1B</t>
  </si>
  <si>
    <t>24_10993</t>
  </si>
  <si>
    <t>libre</t>
  </si>
  <si>
    <t>10.2A</t>
  </si>
  <si>
    <t>24_10994</t>
  </si>
  <si>
    <t>10.2B</t>
  </si>
  <si>
    <t>24_10995</t>
  </si>
  <si>
    <t>10.3A</t>
  </si>
  <si>
    <t>24_10996</t>
  </si>
  <si>
    <t>10.3B</t>
  </si>
  <si>
    <t>24_10997</t>
  </si>
  <si>
    <t>10.4A</t>
  </si>
  <si>
    <t>24_10998</t>
  </si>
  <si>
    <t>10.4B</t>
  </si>
  <si>
    <t>24_10999</t>
  </si>
  <si>
    <t>10.5A</t>
  </si>
  <si>
    <t>24_11000</t>
  </si>
  <si>
    <t>10.5B</t>
  </si>
  <si>
    <t>24_11001</t>
  </si>
  <si>
    <t>10.6A</t>
  </si>
  <si>
    <t>24_11002</t>
  </si>
  <si>
    <t>10.6B</t>
  </si>
  <si>
    <t>IRGA</t>
  </si>
  <si>
    <t>Regenerativo</t>
  </si>
  <si>
    <t>PLOT1</t>
  </si>
  <si>
    <t>Convencional</t>
  </si>
  <si>
    <t>PLOT2</t>
  </si>
  <si>
    <t>PLOT3</t>
  </si>
  <si>
    <t>PLOT4</t>
  </si>
  <si>
    <t>PLOT5</t>
  </si>
  <si>
    <t>PLOT6</t>
  </si>
  <si>
    <t>Column1</t>
  </si>
  <si>
    <t>Eijkelkamp Penetro Viewer Vs. 6.08</t>
  </si>
  <si>
    <t>Número de serie    :</t>
  </si>
  <si>
    <t>Nombre proyecto    :</t>
  </si>
  <si>
    <t>Nombre usuario     :</t>
  </si>
  <si>
    <t xml:space="preserve">NEIKER  </t>
  </si>
  <si>
    <t>Fecha parcela      :</t>
  </si>
  <si>
    <t>Número penetr./parcela:</t>
  </si>
  <si>
    <t>Número penetr. realizadas:</t>
  </si>
  <si>
    <t>Tipo de cono       :</t>
  </si>
  <si>
    <t>2.0cm2</t>
  </si>
  <si>
    <t>60deg</t>
  </si>
  <si>
    <t>Velocidad de penetración:</t>
  </si>
  <si>
    <t>cm/s</t>
  </si>
  <si>
    <t>Unidades profundidad    :    cm</t>
  </si>
  <si>
    <t>Unidades penetración:    MPascal</t>
  </si>
  <si>
    <t>PENETRATION DATA</t>
  </si>
  <si>
    <t>PLOT-001.1</t>
  </si>
  <si>
    <t>N42 51.264 W002 37.390</t>
  </si>
  <si>
    <t>PLOT-001.2</t>
  </si>
  <si>
    <t>N42 51.264 W002 37.391</t>
  </si>
  <si>
    <t>PLOT-001.3</t>
  </si>
  <si>
    <t>N42 51.263 W002 37.392</t>
  </si>
  <si>
    <t>PLOT-002.1</t>
  </si>
  <si>
    <t>N42 51.248 W002 37.355</t>
  </si>
  <si>
    <t>PLOT-002.2</t>
  </si>
  <si>
    <t>N42 51.248 W002 37.356</t>
  </si>
  <si>
    <t>PLOT-002.3</t>
  </si>
  <si>
    <t>N42 51.247 W002 37.355</t>
  </si>
  <si>
    <t>PLOT-003.1</t>
  </si>
  <si>
    <t>N42 51.210 W002 37.335</t>
  </si>
  <si>
    <t>PLOT-003.2</t>
  </si>
  <si>
    <t>N42 51.209 W002 37.332</t>
  </si>
  <si>
    <t>PLOT-003.3</t>
  </si>
  <si>
    <t>N42 51.210 W002 37.331</t>
  </si>
  <si>
    <t>PLOT-004.1</t>
  </si>
  <si>
    <t>N42 51.179 W002 37.310</t>
  </si>
  <si>
    <t>PLOT-004.2</t>
  </si>
  <si>
    <t>N42 51.179 W002 37.307</t>
  </si>
  <si>
    <t>PLOT-004.3</t>
  </si>
  <si>
    <t>N42 51.177 W002 37.306</t>
  </si>
  <si>
    <t>PLOT-005.1</t>
  </si>
  <si>
    <t>N42 51.156 W002 37.291</t>
  </si>
  <si>
    <t>PLOT-005.2</t>
  </si>
  <si>
    <t>N42 51.156 W002 37.290</t>
  </si>
  <si>
    <t>PLOT-005.3</t>
  </si>
  <si>
    <t>N42 51.156 W002 37.289</t>
  </si>
  <si>
    <t>PLOT-006.1</t>
  </si>
  <si>
    <t>N42 51.129 W002 37.266</t>
  </si>
  <si>
    <t>PLOT-006.2</t>
  </si>
  <si>
    <t>N42 51.129 W002 37.268</t>
  </si>
  <si>
    <t>PLOT-006.3</t>
  </si>
  <si>
    <t>N42 51.130 W002 37.269</t>
  </si>
  <si>
    <t>EAW</t>
  </si>
  <si>
    <t>SNA</t>
  </si>
  <si>
    <t>SLU</t>
  </si>
  <si>
    <t>WIR</t>
  </si>
  <si>
    <t>SCA</t>
  </si>
  <si>
    <t>COL</t>
  </si>
  <si>
    <t>ISO</t>
  </si>
  <si>
    <t>MYR</t>
  </si>
  <si>
    <t>ARA</t>
  </si>
  <si>
    <t>Sample</t>
  </si>
  <si>
    <t>Earthworm</t>
  </si>
  <si>
    <t>Shelled gastropods (snails)</t>
  </si>
  <si>
    <t>Unshelled gastropods (slugs)</t>
  </si>
  <si>
    <t>Coleopteran larvae I (wireworm)</t>
  </si>
  <si>
    <t>Coleopteran larvae II (Scarabaeidae)</t>
  </si>
  <si>
    <t>Beetle (Coleoptera)</t>
  </si>
  <si>
    <t>Isopoda</t>
  </si>
  <si>
    <t>Myriapod</t>
  </si>
  <si>
    <t>Arachnida</t>
  </si>
  <si>
    <t>nº</t>
  </si>
  <si>
    <t>weight (mg)</t>
  </si>
  <si>
    <t>peso (mg)</t>
  </si>
  <si>
    <t>Fungal to Bacterial
Ratio</t>
  </si>
  <si>
    <t>HONGOS</t>
  </si>
  <si>
    <t>BACTERIAS</t>
  </si>
  <si>
    <t>Muestra</t>
  </si>
  <si>
    <t>MBC 
μg C/g</t>
  </si>
  <si>
    <t>F:B</t>
  </si>
  <si>
    <t>F %</t>
  </si>
  <si>
    <t>B %</t>
  </si>
  <si>
    <t>0,6:1</t>
  </si>
  <si>
    <t>0,2:1</t>
  </si>
  <si>
    <t>0,4:1</t>
  </si>
  <si>
    <t>0,5:1</t>
  </si>
  <si>
    <t>0,1:1</t>
  </si>
  <si>
    <t>0,7:1</t>
  </si>
  <si>
    <t>Aggregate Stability Index Slakes</t>
  </si>
  <si>
    <t>Aggregate Stability Index Wet sieving aparatus (%)</t>
  </si>
  <si>
    <t>Values of the wet aggregate stability index range from 0,1 to 1
with higher values indicating greater aggregate stability.</t>
  </si>
  <si>
    <t>Full chemical name of used substrate</t>
  </si>
  <si>
    <t>Reaction product</t>
  </si>
  <si>
    <t>Abbreviation</t>
  </si>
  <si>
    <t>Target group of enzymes</t>
  </si>
  <si>
    <t>Equivalent natural substrate</t>
  </si>
  <si>
    <t>4-Methylumbelliferyl N-acetyl-β-D-glucosaminide (CAS 37067-30-4)</t>
  </si>
  <si>
    <t>MUF</t>
  </si>
  <si>
    <t>NAG</t>
  </si>
  <si>
    <t>Glucosaminidasa</t>
  </si>
  <si>
    <t>MU-NAG</t>
  </si>
  <si>
    <t>β-glucosaminidase (GLA)</t>
  </si>
  <si>
    <t>hydrolysis of chitin</t>
  </si>
  <si>
    <t>4-Methylumbelliferyl β-D-glucopyranoside (CAS 18997-57-4)</t>
  </si>
  <si>
    <t>GLS</t>
  </si>
  <si>
    <t>B-D-Glucosidasa</t>
  </si>
  <si>
    <t>MU-GLU</t>
  </si>
  <si>
    <t>β-glucosidase (GLS)</t>
  </si>
  <si>
    <t>beta-D-glucosides and oligosaccharides</t>
  </si>
  <si>
    <t>4-Methylumbelliferyl phosphate (CAS 3368-04-5)</t>
  </si>
  <si>
    <t>MUP</t>
  </si>
  <si>
    <t>Fosfatasa</t>
  </si>
  <si>
    <t>MU-PHO</t>
  </si>
  <si>
    <t>phosphatases (Phosphomonesterases) (PHO)</t>
  </si>
  <si>
    <t>compounds with phosphate-monoester</t>
  </si>
  <si>
    <t>4-Methylumbelliferyl-β-D-xylopyranoside (CAS 6734-33-4)</t>
  </si>
  <si>
    <t>MUX</t>
  </si>
  <si>
    <t>B-Xilosidasa</t>
  </si>
  <si>
    <t>MU-XYL</t>
  </si>
  <si>
    <t>β-xylosidase (XYL)</t>
  </si>
  <si>
    <t>hydrolysis of hemicellulose (beta-D-xylans and xylobiose)</t>
  </si>
  <si>
    <t>L-Leucine-7-amido-4-methylcoumarin hydrochloride</t>
  </si>
  <si>
    <t>AMC</t>
  </si>
  <si>
    <t>LAP</t>
  </si>
  <si>
    <t>L-Leu aminopeptidasa</t>
  </si>
  <si>
    <t>AM-LEU</t>
  </si>
  <si>
    <t>leucinaminopeptidase (LEU)</t>
  </si>
  <si>
    <t>hydrolysis of leucine at the N-terminus of polypeptides and proteins</t>
  </si>
  <si>
    <t>DigitSoil</t>
  </si>
  <si>
    <t>project_sample_id</t>
  </si>
  <si>
    <t>UNITS</t>
  </si>
  <si>
    <t>BOB_02-10.1A</t>
  </si>
  <si>
    <t>&lt;DL</t>
  </si>
  <si>
    <t>pmol * min-1</t>
  </si>
  <si>
    <t>BOB_02-10.1B</t>
  </si>
  <si>
    <t>BOB_02-10.2A</t>
  </si>
  <si>
    <t>BOB_02-10.2B</t>
  </si>
  <si>
    <t>BOB_02-10.3A</t>
  </si>
  <si>
    <t>BOB_02-10.3B</t>
  </si>
  <si>
    <t>BOB_02-10.4A</t>
  </si>
  <si>
    <t>BOB_02-10.4B</t>
  </si>
  <si>
    <t>BOB_02-10.5A</t>
  </si>
  <si>
    <t>BOB_02-10.5B</t>
  </si>
  <si>
    <t>BOB_02-10.6A</t>
  </si>
  <si>
    <t>BOB_02-10.6B</t>
  </si>
  <si>
    <t>pmol * min-2</t>
  </si>
  <si>
    <t>Nº. Registro</t>
  </si>
  <si>
    <t>Rfa. del Caso</t>
  </si>
  <si>
    <t>Nom. Esp./
Orig. Caso</t>
  </si>
  <si>
    <t>Proyecto</t>
  </si>
  <si>
    <t>pH en agua
 (1:2.5, w/v)</t>
  </si>
  <si>
    <t>Materia
 Seca</t>
  </si>
  <si>
    <t>Conductividad eléctrica 
en agua 1:5 w/v</t>
  </si>
  <si>
    <t>Carbono Total</t>
  </si>
  <si>
    <t>Nitrógeno Total</t>
  </si>
  <si>
    <t>Relación C/N</t>
  </si>
  <si>
    <t>Materia Orgánica 
Total</t>
  </si>
  <si>
    <t>Carbonatos</t>
  </si>
  <si>
    <t>Caliza Activa</t>
  </si>
  <si>
    <t xml:space="preserve">  Arena Gruesa</t>
  </si>
  <si>
    <t xml:space="preserve">  Arena Fina</t>
  </si>
  <si>
    <t xml:space="preserve">  Arcilla</t>
  </si>
  <si>
    <t xml:space="preserve">  Limo</t>
  </si>
  <si>
    <t xml:space="preserve">  Clasificación Textural</t>
  </si>
  <si>
    <t>Fósforo Olsen</t>
  </si>
  <si>
    <t>Magnesio Asimilable</t>
  </si>
  <si>
    <t>Sodio  Asimilable</t>
  </si>
  <si>
    <t>Potasio Asimilable</t>
  </si>
  <si>
    <t>Calcio Asimilable</t>
  </si>
  <si>
    <t>Nitrato</t>
  </si>
  <si>
    <t>Amonio</t>
  </si>
  <si>
    <t>Capacidad Intercambio Catiónico Efectiva 
(COHEX)</t>
  </si>
  <si>
    <t>Capacidad de Campo
 (33 kPa)</t>
  </si>
  <si>
    <t>Carbono de la Biomasa 
Microbiana</t>
  </si>
  <si>
    <t>Nitrógeno Potencialmente Mineralizable</t>
  </si>
  <si>
    <t>Respiración Microbiana</t>
  </si>
  <si>
    <t xml:space="preserve">     Fracción MAOM</t>
  </si>
  <si>
    <t xml:space="preserve">     Fracción POM</t>
  </si>
  <si>
    <t xml:space="preserve">    Carbono orgánico
MAOM</t>
  </si>
  <si>
    <t xml:space="preserve">    Carbono orgánico
 POM</t>
  </si>
  <si>
    <t xml:space="preserve">    Carbono orgánico Soluble</t>
  </si>
  <si>
    <t xml:space="preserve">    Alanina Aminopeptidasa</t>
  </si>
  <si>
    <t xml:space="preserve">    Fosfomonoesterasa</t>
  </si>
  <si>
    <t xml:space="preserve">    Beta Glucosidasa</t>
  </si>
  <si>
    <t xml:space="preserve">    Leucina aminopeptidasa</t>
  </si>
  <si>
    <t xml:space="preserve">    Quitinasa</t>
  </si>
  <si>
    <t xml:space="preserve">    Beta Xilosidasa</t>
  </si>
  <si>
    <t>Aluminio</t>
  </si>
  <si>
    <t>Arsénico</t>
  </si>
  <si>
    <t>Boro</t>
  </si>
  <si>
    <t>Calcio</t>
  </si>
  <si>
    <t>Cadmio</t>
  </si>
  <si>
    <t>Cromo</t>
  </si>
  <si>
    <t>Cobre</t>
  </si>
  <si>
    <t>Hierro</t>
  </si>
  <si>
    <t>Potasio</t>
  </si>
  <si>
    <t>Magnesio</t>
  </si>
  <si>
    <t>Manganeso</t>
  </si>
  <si>
    <t>Molibdeno</t>
  </si>
  <si>
    <t>Sodio</t>
  </si>
  <si>
    <t>Níquel</t>
  </si>
  <si>
    <t>Fósforo</t>
  </si>
  <si>
    <t>Plomo</t>
  </si>
  <si>
    <t>Azufre</t>
  </si>
  <si>
    <t>Selenio</t>
  </si>
  <si>
    <t>Zinc</t>
  </si>
  <si>
    <t>%</t>
  </si>
  <si>
    <t>mS/cm</t>
  </si>
  <si>
    <t>mg/kg</t>
  </si>
  <si>
    <t>mEq/100g</t>
  </si>
  <si>
    <t>mg N-NO3/kg</t>
  </si>
  <si>
    <t>mg N-NH4/kg</t>
  </si>
  <si>
    <t>mg C/kg</t>
  </si>
  <si>
    <t>mg C-CO2/kg*h</t>
  </si>
  <si>
    <t>mg/g</t>
  </si>
  <si>
    <t>µmoles producto/kg suelo*h</t>
  </si>
  <si>
    <t>g/kg</t>
  </si>
  <si>
    <t>Lurra-Tierra</t>
  </si>
  <si>
    <t>AI4SOILHEALTH</t>
  </si>
  <si>
    <t>FRANCO-ARCILLOSA</t>
  </si>
  <si>
    <t>&lt;0.5</t>
  </si>
  <si>
    <t>&lt;2.5</t>
  </si>
  <si>
    <t>ARCILLOSA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</si>
</sst>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000000"/>
    <numFmt numFmtId="165" formatCode="[$-C0A]d\-mmm\-yyyy"/>
    <numFmt numFmtId="166" formatCode="0.00000000"/>
    <numFmt numFmtId="167" formatCode="0.0000000"/>
    <numFmt numFmtId="168" formatCode="0.0"/>
    <numFmt numFmtId="169" formatCode="0.0000"/>
    <numFmt numFmtId="170" formatCode="0.000"/>
    <numFmt numFmtId="171" formatCode="_-* #,##0.000_-;\-* #,##0.000_-;_-* &quot;-&quot;??_-;_-@"/>
  </numFmts>
  <fonts count="11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ptos Narrow"/>
      <scheme val="minor"/>
    </font>
    <font/>
    <font>
      <b/>
      <sz val="11.0"/>
      <color theme="0"/>
      <name val="Aptos Narrow"/>
    </font>
    <font>
      <sz val="11.0"/>
      <color rgb="FF000000"/>
      <name val="Calibri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4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0" fontId="1" numFmtId="0" xfId="0" applyBorder="1" applyFont="1"/>
    <xf borderId="3" fillId="0" fontId="2" numFmtId="0" xfId="0" applyAlignment="1" applyBorder="1" applyFont="1">
      <alignment horizontal="center" vertical="center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1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9" fillId="0" fontId="1" numFmtId="0" xfId="0" applyBorder="1" applyFont="1"/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/>
    </xf>
    <xf borderId="9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0" fillId="0" fontId="1" numFmtId="164" xfId="0" applyFont="1" applyNumberFormat="1"/>
    <xf borderId="11" fillId="0" fontId="1" numFmtId="165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horizontal="center" vertical="center"/>
    </xf>
    <xf borderId="13" fillId="0" fontId="2" numFmtId="0" xfId="0" applyAlignment="1" applyBorder="1" applyFont="1">
      <alignment horizontal="center"/>
    </xf>
    <xf borderId="0" fillId="0" fontId="1" numFmtId="166" xfId="0" applyFont="1" applyNumberFormat="1"/>
    <xf borderId="12" fillId="0" fontId="1" numFmtId="0" xfId="0" applyBorder="1" applyFont="1"/>
    <xf borderId="11" fillId="0" fontId="1" numFmtId="0" xfId="0" applyBorder="1" applyFont="1"/>
    <xf borderId="12" fillId="0" fontId="1" numFmtId="167" xfId="0" applyBorder="1" applyFont="1" applyNumberFormat="1"/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vertical="center"/>
    </xf>
    <xf borderId="8" fillId="0" fontId="1" numFmtId="167" xfId="0" applyBorder="1" applyFont="1" applyNumberFormat="1"/>
    <xf borderId="3" fillId="0" fontId="1" numFmtId="164" xfId="0" applyBorder="1" applyFont="1" applyNumberFormat="1"/>
    <xf borderId="9" fillId="0" fontId="1" numFmtId="164" xfId="0" applyBorder="1" applyFont="1" applyNumberFormat="1"/>
    <xf borderId="0" fillId="0" fontId="1" numFmtId="1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4" fillId="0" fontId="1" numFmtId="2" xfId="0" applyAlignment="1" applyBorder="1" applyFont="1" applyNumberFormat="1">
      <alignment horizontal="center" vertical="center"/>
    </xf>
    <xf borderId="13" fillId="0" fontId="4" numFmtId="0" xfId="0" applyBorder="1" applyFont="1"/>
    <xf borderId="10" fillId="0" fontId="4" numFmtId="0" xfId="0" applyBorder="1" applyFont="1"/>
    <xf borderId="0" fillId="0" fontId="1" numFmtId="168" xfId="0" applyAlignment="1" applyFont="1" applyNumberFormat="1">
      <alignment horizontal="center"/>
    </xf>
    <xf borderId="14" fillId="2" fontId="1" numFmtId="14" xfId="0" applyAlignment="1" applyBorder="1" applyFill="1" applyFont="1" applyNumberFormat="1">
      <alignment horizontal="center"/>
    </xf>
    <xf borderId="15" fillId="3" fontId="2" numFmtId="0" xfId="0" applyAlignment="1" applyBorder="1" applyFill="1" applyFont="1">
      <alignment horizontal="center"/>
    </xf>
    <xf borderId="16" fillId="3" fontId="5" numFmtId="0" xfId="0" applyAlignment="1" applyBorder="1" applyFont="1">
      <alignment horizontal="center"/>
    </xf>
    <xf borderId="17" fillId="0" fontId="4" numFmtId="0" xfId="0" applyBorder="1" applyFont="1"/>
    <xf borderId="16" fillId="3" fontId="5" numFmtId="14" xfId="0" applyAlignment="1" applyBorder="1" applyFont="1" applyNumberFormat="1">
      <alignment horizontal="center"/>
    </xf>
    <xf borderId="18" fillId="3" fontId="5" numFmtId="0" xfId="0" applyAlignment="1" applyBorder="1" applyFont="1">
      <alignment horizontal="center"/>
    </xf>
    <xf borderId="19" fillId="0" fontId="4" numFmtId="0" xfId="0" applyBorder="1" applyFont="1"/>
    <xf borderId="20" fillId="0" fontId="2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borderId="12" fillId="0" fontId="4" numFmtId="0" xfId="0" applyBorder="1" applyFont="1"/>
    <xf borderId="0" fillId="0" fontId="2" numFmtId="0" xfId="0" applyAlignment="1" applyFont="1">
      <alignment horizontal="center" shrinkToFit="0" wrapText="1"/>
    </xf>
    <xf borderId="21" fillId="0" fontId="4" numFmtId="0" xfId="0" applyBorder="1" applyFont="1"/>
    <xf borderId="22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8" fillId="0" fontId="1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2" fillId="0" fontId="1" numFmtId="0" xfId="0" applyBorder="1" applyFont="1"/>
    <xf borderId="0" fillId="0" fontId="2" numFmtId="2" xfId="0" applyAlignment="1" applyFont="1" applyNumberFormat="1">
      <alignment horizontal="center"/>
    </xf>
    <xf borderId="8" fillId="0" fontId="1" numFmtId="0" xfId="0" applyBorder="1" applyFont="1"/>
    <xf borderId="9" fillId="0" fontId="2" numFmtId="2" xfId="0" applyAlignment="1" applyBorder="1" applyFont="1" applyNumberFormat="1">
      <alignment horizontal="center"/>
    </xf>
    <xf borderId="7" fillId="0" fontId="2" numFmtId="2" xfId="0" applyAlignment="1" applyBorder="1" applyFont="1" applyNumberFormat="1">
      <alignment horizontal="center"/>
    </xf>
    <xf borderId="14" fillId="4" fontId="6" numFmtId="0" xfId="0" applyBorder="1" applyFill="1" applyFont="1"/>
    <xf borderId="14" fillId="4" fontId="1" numFmtId="0" xfId="0" applyBorder="1" applyFont="1"/>
    <xf borderId="31" fillId="4" fontId="7" numFmtId="0" xfId="0" applyBorder="1" applyFont="1"/>
    <xf borderId="32" fillId="4" fontId="7" numFmtId="0" xfId="0" applyBorder="1" applyFont="1"/>
    <xf borderId="32" fillId="4" fontId="1" numFmtId="0" xfId="0" applyBorder="1" applyFont="1"/>
    <xf borderId="33" fillId="4" fontId="1" numFmtId="0" xfId="0" applyBorder="1" applyFont="1"/>
    <xf borderId="33" fillId="4" fontId="7" numFmtId="0" xfId="0" applyBorder="1" applyFont="1"/>
    <xf borderId="34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5" fillId="4" fontId="2" numFmtId="0" xfId="0" applyAlignment="1" applyBorder="1" applyFont="1">
      <alignment horizontal="center"/>
    </xf>
    <xf borderId="15" fillId="4" fontId="1" numFmtId="0" xfId="0" applyAlignment="1" applyBorder="1" applyFont="1">
      <alignment horizontal="center"/>
    </xf>
    <xf borderId="35" fillId="4" fontId="1" numFmtId="0" xfId="0" applyAlignment="1" applyBorder="1" applyFont="1">
      <alignment horizontal="center"/>
    </xf>
    <xf borderId="36" fillId="4" fontId="1" numFmtId="0" xfId="0" applyBorder="1" applyFont="1"/>
    <xf borderId="37" fillId="4" fontId="8" numFmtId="0" xfId="0" applyAlignment="1" applyBorder="1" applyFont="1">
      <alignment vertical="top"/>
    </xf>
    <xf borderId="38" fillId="4" fontId="2" numFmtId="0" xfId="0" applyAlignment="1" applyBorder="1" applyFont="1">
      <alignment horizontal="center"/>
    </xf>
    <xf borderId="38" fillId="4" fontId="1" numFmtId="0" xfId="0" applyBorder="1" applyFont="1"/>
    <xf borderId="14" fillId="4" fontId="1" numFmtId="0" xfId="0" applyAlignment="1" applyBorder="1" applyFont="1">
      <alignment horizontal="center"/>
    </xf>
    <xf borderId="39" fillId="4" fontId="1" numFmtId="0" xfId="0" applyBorder="1" applyFont="1"/>
    <xf borderId="40" fillId="4" fontId="8" numFmtId="0" xfId="0" applyAlignment="1" applyBorder="1" applyFont="1">
      <alignment vertical="top"/>
    </xf>
    <xf borderId="41" fillId="4" fontId="8" numFmtId="0" xfId="0" applyAlignment="1" applyBorder="1" applyFont="1">
      <alignment vertical="top"/>
    </xf>
    <xf borderId="41" fillId="4" fontId="1" numFmtId="0" xfId="0" applyBorder="1" applyFont="1"/>
    <xf borderId="42" fillId="4" fontId="2" numFmtId="0" xfId="0" applyAlignment="1" applyBorder="1" applyFont="1">
      <alignment horizontal="center"/>
    </xf>
    <xf borderId="42" fillId="4" fontId="1" numFmtId="0" xfId="0" applyBorder="1" applyFont="1"/>
    <xf borderId="43" fillId="4" fontId="1" numFmtId="0" xfId="0" applyAlignment="1" applyBorder="1" applyFont="1">
      <alignment horizontal="center"/>
    </xf>
    <xf borderId="44" fillId="4" fontId="1" numFmtId="0" xfId="0" applyBorder="1" applyFont="1"/>
    <xf borderId="45" fillId="4" fontId="8" numFmtId="0" xfId="0" applyAlignment="1" applyBorder="1" applyFont="1">
      <alignment vertical="top"/>
    </xf>
    <xf borderId="14" fillId="4" fontId="9" numFmtId="0" xfId="0" applyAlignment="1" applyBorder="1" applyFont="1">
      <alignment vertical="center"/>
    </xf>
    <xf borderId="45" fillId="4" fontId="1" numFmtId="0" xfId="0" applyAlignment="1" applyBorder="1" applyFont="1">
      <alignment horizontal="right"/>
    </xf>
    <xf borderId="41" fillId="4" fontId="1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right"/>
    </xf>
    <xf borderId="37" fillId="4" fontId="1" numFmtId="0" xfId="0" applyBorder="1" applyFont="1"/>
    <xf borderId="0" fillId="0" fontId="10" numFmtId="0" xfId="0" applyAlignment="1" applyFont="1">
      <alignment horizontal="center"/>
    </xf>
    <xf borderId="0" fillId="0" fontId="1" numFmtId="169" xfId="0" applyAlignment="1" applyFont="1" applyNumberFormat="1">
      <alignment horizontal="center"/>
    </xf>
    <xf borderId="41" fillId="4" fontId="1" numFmtId="0" xfId="0" applyAlignment="1" applyBorder="1" applyFont="1">
      <alignment horizontal="center"/>
    </xf>
    <xf borderId="0" fillId="0" fontId="1" numFmtId="0" xfId="0" applyFont="1"/>
    <xf quotePrefix="1" borderId="0" fillId="0" fontId="2" numFmtId="0" xfId="0" applyFont="1"/>
    <xf quotePrefix="1"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quotePrefix="1" borderId="0" fillId="0" fontId="2" numFmtId="0" xfId="0" applyAlignment="1" applyFont="1">
      <alignment horizontal="center" shrinkToFit="0" wrapText="1"/>
    </xf>
    <xf quotePrefix="1" borderId="0" fillId="0" fontId="2" numFmtId="0" xfId="0" applyAlignment="1" applyFont="1">
      <alignment vertical="center"/>
    </xf>
    <xf quotePrefix="1" borderId="0" fillId="0" fontId="2" numFmtId="0" xfId="0" applyAlignment="1" applyFont="1">
      <alignment horizontal="center" vertical="center"/>
    </xf>
    <xf quotePrefix="1" borderId="0" fillId="0" fontId="1" numFmtId="0" xfId="0" applyAlignment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593635170603675"/>
          <c:y val="0.022952529994783515"/>
          <c:w val="0.9124525371828521"/>
          <c:h val="0.8618707872783508"/>
        </c:manualLayout>
      </c:layout>
      <c:scatterChart>
        <c:scatterStyle val="lineMarker"/>
        <c:ser>
          <c:idx val="0"/>
          <c:order val="0"/>
          <c:tx>
            <c:v>PLOT1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Penetrologger!$D$36:$CF$36</c:f>
            </c:numRef>
          </c:xVal>
          <c:yVal>
            <c:numRef>
              <c:f>Penetrologger!$D$37:$CF$37</c:f>
              <c:numCache/>
            </c:numRef>
          </c:yVal>
        </c:ser>
        <c:ser>
          <c:idx val="1"/>
          <c:order val="1"/>
          <c:tx>
            <c:v>PLOT2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Penetrologger!$D$36:$CF$36</c:f>
            </c:numRef>
          </c:xVal>
          <c:yVal>
            <c:numRef>
              <c:f>Penetrologger!$D$38:$CF$38</c:f>
              <c:numCache/>
            </c:numRef>
          </c:yVal>
        </c:ser>
        <c:ser>
          <c:idx val="2"/>
          <c:order val="2"/>
          <c:tx>
            <c:v>PLOT3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Penetrologger!$D$36:$CF$36</c:f>
            </c:numRef>
          </c:xVal>
          <c:yVal>
            <c:numRef>
              <c:f>Penetrologger!$D$39:$CF$39</c:f>
              <c:numCache/>
            </c:numRef>
          </c:yVal>
        </c:ser>
        <c:ser>
          <c:idx val="3"/>
          <c:order val="3"/>
          <c:tx>
            <c:v>PLOT4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Penetrologger!$D$36:$CF$36</c:f>
            </c:numRef>
          </c:xVal>
          <c:yVal>
            <c:numRef>
              <c:f>Penetrologger!$D$40:$CF$40</c:f>
              <c:numCache/>
            </c:numRef>
          </c:yVal>
        </c:ser>
        <c:ser>
          <c:idx val="4"/>
          <c:order val="4"/>
          <c:tx>
            <c:v>PLOT5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Penetrologger!$D$36:$CF$36</c:f>
            </c:numRef>
          </c:xVal>
          <c:yVal>
            <c:numRef>
              <c:f>Penetrologger!$D$41:$CF$41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98212"/>
        <c:axId val="577385580"/>
      </c:scatterChart>
      <c:valAx>
        <c:axId val="10117982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Profundidad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7385580"/>
      </c:valAx>
      <c:valAx>
        <c:axId val="577385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Fuerza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1798212"/>
      </c:valAx>
    </c:plotArea>
    <c:legend>
      <c:legendPos val="b"/>
      <c:layout>
        <c:manualLayout>
          <c:xMode val="edge"/>
          <c:yMode val="edge"/>
          <c:x val="0.05737806211723533"/>
          <c:y val="0.1071985015957512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593635170603675"/>
          <c:y val="0.022952529994783515"/>
          <c:w val="0.9124525371828521"/>
          <c:h val="0.8618707872783508"/>
        </c:manualLayout>
      </c:layout>
      <c:scatterChart>
        <c:scatterStyle val="lineMarker"/>
        <c:varyColors val="0"/>
        <c:ser>
          <c:idx val="0"/>
          <c:order val="0"/>
          <c:tx>
            <c:v>Regenerativo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Penetrologger!$D$43:$CF$43</c:f>
            </c:numRef>
          </c:xVal>
          <c:yVal>
            <c:numRef>
              <c:f>Penetrologger!$D$44:$CF$44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67370"/>
        <c:axId val="986552661"/>
      </c:scatterChart>
      <c:valAx>
        <c:axId val="1849673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Profundidad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986552661"/>
      </c:valAx>
      <c:valAx>
        <c:axId val="986552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Fuerza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84967370"/>
      </c:valAx>
    </c:plotArea>
    <c:legend>
      <c:legendPos val="b"/>
      <c:layout>
        <c:manualLayout>
          <c:xMode val="edge"/>
          <c:yMode val="edge"/>
          <c:x val="0.0879336176727909"/>
          <c:y val="0.06546662887796302"/>
        </c:manualLayout>
      </c:layout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593635170603675"/>
          <c:y val="0.022952529994783515"/>
          <c:w val="0.9124525371828521"/>
          <c:h val="0.8618707872783508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33352827"/>
        <c:axId val="320343967"/>
      </c:scatterChart>
      <c:valAx>
        <c:axId val="1733352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Profundidad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0343967"/>
      </c:valAx>
      <c:valAx>
        <c:axId val="32034396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33352827"/>
      </c:valAx>
    </c:plotArea>
    <c:legend>
      <c:legendPos val="b"/>
      <c:layout>
        <c:manualLayout>
          <c:xMode val="edge"/>
          <c:yMode val="edge"/>
          <c:x val="0.05737806211723533"/>
          <c:y val="0.10719850159575127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593635170603675"/>
          <c:y val="0.022952529994783515"/>
          <c:w val="0.9124525371828521"/>
          <c:h val="0.8618707872783508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98083418"/>
        <c:axId val="1673659340"/>
      </c:scatterChart>
      <c:valAx>
        <c:axId val="11980834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Profundidad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673659340"/>
      </c:valAx>
      <c:valAx>
        <c:axId val="16736593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98083418"/>
      </c:valAx>
    </c:plotArea>
    <c:legend>
      <c:legendPos val="b"/>
      <c:layout>
        <c:manualLayout>
          <c:xMode val="edge"/>
          <c:yMode val="edge"/>
          <c:x val="0.0879336176727909"/>
          <c:y val="0.06546662887796302"/>
        </c:manualLayout>
      </c:layout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133350</xdr:rowOff>
    </xdr:from>
    <xdr:ext cx="7724775" cy="65722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84</xdr:col>
      <xdr:colOff>723900</xdr:colOff>
      <xdr:row>15</xdr:row>
      <xdr:rowOff>133350</xdr:rowOff>
    </xdr:from>
    <xdr:ext cx="9715500" cy="6400800"/>
    <xdr:graphicFrame>
      <xdr:nvGraphicFramePr>
        <xdr:cNvPr id="61083135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97</xdr:col>
      <xdr:colOff>723900</xdr:colOff>
      <xdr:row>15</xdr:row>
      <xdr:rowOff>133350</xdr:rowOff>
    </xdr:from>
    <xdr:ext cx="9715500" cy="6400800"/>
    <xdr:graphicFrame>
      <xdr:nvGraphicFramePr>
        <xdr:cNvPr id="156990771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85</xdr:col>
      <xdr:colOff>0</xdr:colOff>
      <xdr:row>64</xdr:row>
      <xdr:rowOff>19050</xdr:rowOff>
    </xdr:from>
    <xdr:ext cx="9715500" cy="6400800"/>
    <xdr:graphicFrame>
      <xdr:nvGraphicFramePr>
        <xdr:cNvPr id="127751971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98</xdr:col>
      <xdr:colOff>0</xdr:colOff>
      <xdr:row>64</xdr:row>
      <xdr:rowOff>19050</xdr:rowOff>
    </xdr:from>
    <xdr:ext cx="9715500" cy="6400800"/>
    <xdr:graphicFrame>
      <xdr:nvGraphicFramePr>
        <xdr:cNvPr id="112626212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0.63"/>
    <col customWidth="1" min="11" max="11" width="12.75"/>
    <col customWidth="1" min="12" max="12" width="11.38"/>
    <col customWidth="1" min="13" max="14" width="14.25"/>
    <col customWidth="1" min="15" max="15" width="7.75"/>
    <col customWidth="1" min="16" max="17" width="12.0"/>
    <col customWidth="1" min="18" max="18" width="8.0"/>
    <col customWidth="1" min="19" max="19" width="12.75"/>
    <col customWidth="1" min="20" max="20" width="13.75"/>
    <col customWidth="1" min="21" max="21" width="13.63"/>
    <col customWidth="1" min="22" max="22" width="13.75"/>
    <col customWidth="1" min="23" max="32" width="10.63"/>
  </cols>
  <sheetData>
    <row r="1">
      <c r="K1" s="1" t="s">
        <v>0</v>
      </c>
      <c r="L1" s="2"/>
      <c r="M1" s="3"/>
      <c r="N1" s="4"/>
      <c r="O1" s="3"/>
      <c r="P1" s="4"/>
      <c r="Q1" s="4"/>
      <c r="R1" s="5"/>
      <c r="S1" s="6"/>
      <c r="T1" s="7" t="s">
        <v>1</v>
      </c>
      <c r="U1" s="7"/>
      <c r="V1" s="8"/>
    </row>
    <row r="2">
      <c r="K2" s="9" t="s">
        <v>2</v>
      </c>
      <c r="L2" s="10" t="s">
        <v>3</v>
      </c>
      <c r="M2" s="11" t="s">
        <v>4</v>
      </c>
      <c r="N2" s="12" t="s">
        <v>5</v>
      </c>
      <c r="O2" s="11" t="s">
        <v>6</v>
      </c>
      <c r="P2" s="12" t="s">
        <v>7</v>
      </c>
      <c r="Q2" s="11" t="s">
        <v>8</v>
      </c>
      <c r="R2" s="13"/>
      <c r="S2" s="14" t="s">
        <v>9</v>
      </c>
      <c r="T2" s="15" t="s">
        <v>10</v>
      </c>
      <c r="U2" s="15" t="s">
        <v>11</v>
      </c>
      <c r="V2" s="16" t="s">
        <v>12</v>
      </c>
      <c r="AE2" s="17"/>
      <c r="AF2" s="17"/>
    </row>
    <row r="3">
      <c r="K3" s="18">
        <v>45580.0</v>
      </c>
      <c r="L3" s="19">
        <v>109.0</v>
      </c>
      <c r="M3" s="20" t="s">
        <v>13</v>
      </c>
      <c r="N3" s="20">
        <v>10.0</v>
      </c>
      <c r="O3" s="20">
        <v>1.0</v>
      </c>
      <c r="P3" s="21" t="s">
        <v>14</v>
      </c>
      <c r="Q3" s="21" t="s">
        <v>15</v>
      </c>
      <c r="R3" s="22" t="s">
        <v>16</v>
      </c>
      <c r="S3" s="23" t="s">
        <v>17</v>
      </c>
      <c r="T3" s="21">
        <v>-2.62319677333332</v>
      </c>
      <c r="U3" s="24">
        <v>42.8543979992745</v>
      </c>
      <c r="V3" s="25">
        <v>515.178701419383</v>
      </c>
      <c r="AE3" s="17"/>
      <c r="AF3" s="17"/>
    </row>
    <row r="4">
      <c r="K4" s="26"/>
      <c r="L4" s="19">
        <v>110.0</v>
      </c>
      <c r="M4" s="20" t="s">
        <v>18</v>
      </c>
      <c r="N4" s="20">
        <v>10.0</v>
      </c>
      <c r="O4" s="20">
        <v>1.0</v>
      </c>
      <c r="P4" s="21" t="s">
        <v>19</v>
      </c>
      <c r="Q4" s="21" t="s">
        <v>15</v>
      </c>
      <c r="R4" s="22" t="s">
        <v>20</v>
      </c>
      <c r="S4" s="23" t="s">
        <v>21</v>
      </c>
      <c r="T4" s="21">
        <v>-2.62319677333332</v>
      </c>
      <c r="U4" s="24">
        <v>42.8543979992745</v>
      </c>
      <c r="V4" s="25">
        <v>515.178701419383</v>
      </c>
      <c r="AE4" s="17"/>
      <c r="AF4" s="17"/>
    </row>
    <row r="5">
      <c r="K5" s="26"/>
      <c r="L5" s="19">
        <v>111.0</v>
      </c>
      <c r="M5" s="20" t="s">
        <v>22</v>
      </c>
      <c r="N5" s="20">
        <v>10.0</v>
      </c>
      <c r="O5" s="20">
        <v>2.0</v>
      </c>
      <c r="P5" s="21" t="s">
        <v>14</v>
      </c>
      <c r="Q5" s="21" t="s">
        <v>23</v>
      </c>
      <c r="R5" s="22" t="s">
        <v>16</v>
      </c>
      <c r="S5" s="23" t="s">
        <v>24</v>
      </c>
      <c r="T5" s="21">
        <v>-2.62258694166665</v>
      </c>
      <c r="U5" s="21">
        <v>42.8541260592745</v>
      </c>
      <c r="V5" s="25">
        <v>517.746109593659</v>
      </c>
      <c r="AE5" s="17"/>
      <c r="AF5" s="17"/>
    </row>
    <row r="6">
      <c r="K6" s="26"/>
      <c r="L6" s="19">
        <v>112.0</v>
      </c>
      <c r="M6" s="20" t="s">
        <v>25</v>
      </c>
      <c r="N6" s="20">
        <v>10.0</v>
      </c>
      <c r="O6" s="20">
        <v>2.0</v>
      </c>
      <c r="P6" s="21" t="s">
        <v>19</v>
      </c>
      <c r="Q6" s="21" t="s">
        <v>23</v>
      </c>
      <c r="R6" s="22" t="s">
        <v>20</v>
      </c>
      <c r="S6" s="23" t="s">
        <v>26</v>
      </c>
      <c r="T6" s="21">
        <v>-2.62258694166665</v>
      </c>
      <c r="U6" s="21">
        <v>42.8541260592745</v>
      </c>
      <c r="V6" s="25">
        <v>517.746109593659</v>
      </c>
      <c r="AE6" s="17"/>
      <c r="AF6" s="17"/>
    </row>
    <row r="7">
      <c r="K7" s="26"/>
      <c r="L7" s="19">
        <v>113.0</v>
      </c>
      <c r="M7" s="20" t="s">
        <v>27</v>
      </c>
      <c r="N7" s="20">
        <v>10.0</v>
      </c>
      <c r="O7" s="20">
        <v>3.0</v>
      </c>
      <c r="P7" s="21" t="s">
        <v>14</v>
      </c>
      <c r="Q7" s="21" t="s">
        <v>15</v>
      </c>
      <c r="R7" s="22" t="s">
        <v>16</v>
      </c>
      <c r="S7" s="23" t="s">
        <v>28</v>
      </c>
      <c r="T7" s="17">
        <v>-2.62222419999998</v>
      </c>
      <c r="U7" s="21">
        <v>42.8534931426078</v>
      </c>
      <c r="V7" s="25">
        <v>517.781697603873</v>
      </c>
      <c r="AE7" s="17"/>
      <c r="AF7" s="17"/>
    </row>
    <row r="8">
      <c r="K8" s="26"/>
      <c r="L8" s="19">
        <v>114.0</v>
      </c>
      <c r="M8" s="20" t="s">
        <v>29</v>
      </c>
      <c r="N8" s="20">
        <v>10.0</v>
      </c>
      <c r="O8" s="20">
        <v>3.0</v>
      </c>
      <c r="P8" s="21" t="s">
        <v>19</v>
      </c>
      <c r="Q8" s="21" t="s">
        <v>15</v>
      </c>
      <c r="R8" s="22" t="s">
        <v>20</v>
      </c>
      <c r="S8" s="23" t="s">
        <v>30</v>
      </c>
      <c r="T8" s="17">
        <v>-2.62222419999998</v>
      </c>
      <c r="U8" s="21">
        <v>42.8534931426078</v>
      </c>
      <c r="V8" s="25">
        <v>517.781697603873</v>
      </c>
      <c r="AE8" s="17"/>
      <c r="AF8" s="17"/>
    </row>
    <row r="9">
      <c r="K9" s="26"/>
      <c r="L9" s="19">
        <v>115.0</v>
      </c>
      <c r="M9" s="20" t="s">
        <v>31</v>
      </c>
      <c r="N9" s="20">
        <v>10.0</v>
      </c>
      <c r="O9" s="20">
        <v>4.0</v>
      </c>
      <c r="P9" s="21" t="s">
        <v>14</v>
      </c>
      <c r="Q9" s="21" t="s">
        <v>23</v>
      </c>
      <c r="R9" s="22" t="s">
        <v>16</v>
      </c>
      <c r="S9" s="23" t="s">
        <v>32</v>
      </c>
      <c r="T9" s="21">
        <v>-2.62185861666665</v>
      </c>
      <c r="U9" s="21">
        <v>42.8529534292745</v>
      </c>
      <c r="V9" s="25">
        <v>517.020422944799</v>
      </c>
      <c r="AE9" s="17"/>
      <c r="AF9" s="17"/>
    </row>
    <row r="10">
      <c r="K10" s="26"/>
      <c r="L10" s="19">
        <v>116.0</v>
      </c>
      <c r="M10" s="20" t="s">
        <v>33</v>
      </c>
      <c r="N10" s="20">
        <v>10.0</v>
      </c>
      <c r="O10" s="20">
        <v>4.0</v>
      </c>
      <c r="P10" s="21" t="s">
        <v>19</v>
      </c>
      <c r="Q10" s="21" t="s">
        <v>23</v>
      </c>
      <c r="R10" s="22" t="s">
        <v>20</v>
      </c>
      <c r="S10" s="23" t="s">
        <v>34</v>
      </c>
      <c r="T10" s="21">
        <v>-2.62185861666665</v>
      </c>
      <c r="U10" s="21">
        <v>42.8529534292745</v>
      </c>
      <c r="V10" s="25">
        <v>517.020422944799</v>
      </c>
      <c r="AE10" s="17"/>
      <c r="AF10" s="17"/>
    </row>
    <row r="11">
      <c r="K11" s="26"/>
      <c r="L11" s="19">
        <v>117.0</v>
      </c>
      <c r="M11" s="20" t="s">
        <v>35</v>
      </c>
      <c r="N11" s="20">
        <v>10.0</v>
      </c>
      <c r="O11" s="20">
        <v>5.0</v>
      </c>
      <c r="P11" s="21" t="s">
        <v>14</v>
      </c>
      <c r="Q11" s="21" t="s">
        <v>23</v>
      </c>
      <c r="R11" s="22" t="s">
        <v>16</v>
      </c>
      <c r="S11" s="23" t="s">
        <v>36</v>
      </c>
      <c r="T11" s="17">
        <v>-2.62149438999998</v>
      </c>
      <c r="U11" s="21">
        <v>42.8525918676078</v>
      </c>
      <c r="V11" s="25">
        <v>517.138392426073</v>
      </c>
      <c r="AE11" s="17"/>
      <c r="AF11" s="17"/>
    </row>
    <row r="12">
      <c r="K12" s="26"/>
      <c r="L12" s="19">
        <v>118.0</v>
      </c>
      <c r="M12" s="20" t="s">
        <v>37</v>
      </c>
      <c r="N12" s="20">
        <v>10.0</v>
      </c>
      <c r="O12" s="20">
        <v>5.0</v>
      </c>
      <c r="P12" s="21" t="s">
        <v>19</v>
      </c>
      <c r="Q12" s="21" t="s">
        <v>23</v>
      </c>
      <c r="R12" s="22" t="s">
        <v>20</v>
      </c>
      <c r="S12" s="23" t="s">
        <v>38</v>
      </c>
      <c r="T12" s="17">
        <v>-2.62149438999998</v>
      </c>
      <c r="U12" s="21">
        <v>42.8525918676078</v>
      </c>
      <c r="V12" s="25">
        <v>517.138392426073</v>
      </c>
      <c r="AE12" s="17"/>
      <c r="AF12" s="17"/>
    </row>
    <row r="13">
      <c r="K13" s="26"/>
      <c r="L13" s="19">
        <v>119.0</v>
      </c>
      <c r="M13" s="20" t="s">
        <v>39</v>
      </c>
      <c r="N13" s="20">
        <v>10.0</v>
      </c>
      <c r="O13" s="20">
        <v>6.0</v>
      </c>
      <c r="P13" s="21" t="s">
        <v>14</v>
      </c>
      <c r="Q13" s="21" t="s">
        <v>15</v>
      </c>
      <c r="R13" s="22" t="s">
        <v>16</v>
      </c>
      <c r="S13" s="23" t="s">
        <v>40</v>
      </c>
      <c r="T13" s="21">
        <v>-2.62113046166665</v>
      </c>
      <c r="U13" s="21">
        <v>42.8521396742745</v>
      </c>
      <c r="V13" s="27">
        <v>517.04523602128</v>
      </c>
      <c r="AE13" s="17"/>
      <c r="AF13" s="17"/>
    </row>
    <row r="14">
      <c r="K14" s="28"/>
      <c r="L14" s="10">
        <v>120.0</v>
      </c>
      <c r="M14" s="29" t="s">
        <v>41</v>
      </c>
      <c r="N14" s="11">
        <v>10.0</v>
      </c>
      <c r="O14" s="11">
        <v>6.0</v>
      </c>
      <c r="P14" s="12" t="s">
        <v>19</v>
      </c>
      <c r="Q14" s="12" t="s">
        <v>15</v>
      </c>
      <c r="R14" s="30" t="s">
        <v>20</v>
      </c>
      <c r="S14" s="14" t="s">
        <v>42</v>
      </c>
      <c r="T14" s="12">
        <v>-2.62113046166665</v>
      </c>
      <c r="U14" s="12">
        <v>42.8521396742745</v>
      </c>
      <c r="V14" s="31">
        <v>517.04523602128</v>
      </c>
      <c r="AE14" s="32"/>
      <c r="AF14" s="32"/>
    </row>
    <row r="15">
      <c r="L15" s="20"/>
      <c r="M15" s="20"/>
      <c r="O15" s="20"/>
      <c r="R15" s="22"/>
      <c r="AE15" s="17"/>
      <c r="AF15" s="17"/>
    </row>
    <row r="16">
      <c r="L16" s="20"/>
      <c r="M16" s="20"/>
      <c r="O16" s="20"/>
      <c r="R16" s="22"/>
      <c r="AE16" s="17"/>
      <c r="AF16" s="17"/>
    </row>
    <row r="17">
      <c r="L17" s="20"/>
      <c r="M17" s="20"/>
      <c r="O17" s="20"/>
      <c r="R17" s="22"/>
      <c r="AE17" s="17"/>
      <c r="AF17" s="17"/>
    </row>
    <row r="18">
      <c r="L18" s="20"/>
      <c r="M18" s="20"/>
      <c r="O18" s="20"/>
      <c r="R18" s="22"/>
      <c r="AE18" s="17"/>
      <c r="AF18" s="17"/>
    </row>
    <row r="19">
      <c r="L19" s="20"/>
      <c r="M19" s="20"/>
      <c r="O19" s="20"/>
      <c r="R19" s="22"/>
      <c r="AE19" s="17"/>
      <c r="AF19" s="17"/>
    </row>
    <row r="20">
      <c r="L20" s="20"/>
      <c r="M20" s="20"/>
      <c r="O20" s="20"/>
      <c r="R20" s="22"/>
      <c r="AE20" s="17"/>
      <c r="AF20" s="17"/>
    </row>
    <row r="21" ht="15.75" customHeight="1">
      <c r="L21" s="20"/>
      <c r="M21" s="20"/>
      <c r="O21" s="20"/>
      <c r="R21" s="22"/>
      <c r="AE21" s="17"/>
      <c r="AF21" s="17"/>
    </row>
    <row r="22" ht="15.75" customHeight="1">
      <c r="L22" s="20"/>
      <c r="M22" s="20"/>
      <c r="O22" s="20"/>
      <c r="R22" s="22"/>
      <c r="AE22" s="17"/>
      <c r="AF22" s="17"/>
    </row>
    <row r="23" ht="15.75" customHeight="1">
      <c r="L23" s="20"/>
      <c r="M23" s="20"/>
      <c r="O23" s="20"/>
      <c r="R23" s="22"/>
      <c r="AE23" s="17"/>
      <c r="AF23" s="17"/>
    </row>
    <row r="24" ht="15.75" customHeight="1">
      <c r="L24" s="20"/>
      <c r="M24" s="20"/>
      <c r="O24" s="20"/>
      <c r="R24" s="22"/>
      <c r="AE24" s="17"/>
      <c r="AF24" s="17"/>
    </row>
    <row r="25" ht="15.75" customHeight="1">
      <c r="L25" s="20"/>
      <c r="M25" s="20"/>
      <c r="O25" s="20"/>
      <c r="R25" s="22"/>
      <c r="AE25" s="33"/>
      <c r="AF25" s="33"/>
    </row>
    <row r="26" ht="15.75" customHeight="1">
      <c r="L26" s="20"/>
      <c r="M26" s="20"/>
      <c r="O26" s="20"/>
      <c r="R26" s="22"/>
      <c r="AE26" s="32"/>
      <c r="AF26" s="32"/>
    </row>
    <row r="27" ht="15.75" customHeight="1">
      <c r="L27" s="20"/>
      <c r="M27" s="20"/>
      <c r="O27" s="20"/>
      <c r="R27" s="22"/>
      <c r="AE27" s="17"/>
      <c r="AF27" s="17"/>
    </row>
    <row r="28" ht="15.75" customHeight="1">
      <c r="L28" s="20"/>
      <c r="M28" s="20"/>
      <c r="O28" s="20"/>
      <c r="R28" s="22"/>
      <c r="AE28" s="17"/>
      <c r="AF28" s="17"/>
    </row>
    <row r="29" ht="15.75" customHeight="1">
      <c r="L29" s="20"/>
      <c r="M29" s="20"/>
      <c r="O29" s="20"/>
      <c r="R29" s="22"/>
      <c r="AE29" s="17"/>
      <c r="AF29" s="17"/>
    </row>
    <row r="30" ht="15.75" customHeight="1">
      <c r="L30" s="20"/>
      <c r="M30" s="20"/>
      <c r="O30" s="20"/>
      <c r="R30" s="22"/>
      <c r="AE30" s="17"/>
      <c r="AF30" s="17"/>
    </row>
    <row r="31" ht="15.75" customHeight="1">
      <c r="L31" s="20"/>
      <c r="M31" s="20"/>
      <c r="O31" s="20"/>
      <c r="R31" s="22"/>
      <c r="AE31" s="17"/>
      <c r="AF31" s="17"/>
    </row>
    <row r="32" ht="15.75" customHeight="1">
      <c r="L32" s="20"/>
      <c r="M32" s="20"/>
      <c r="O32" s="20"/>
      <c r="R32" s="22"/>
      <c r="AE32" s="17"/>
      <c r="AF32" s="17"/>
    </row>
    <row r="33" ht="15.75" customHeight="1">
      <c r="L33" s="20"/>
      <c r="M33" s="20"/>
      <c r="O33" s="20"/>
      <c r="R33" s="22"/>
      <c r="AE33" s="17"/>
      <c r="AF33" s="17"/>
    </row>
    <row r="34" ht="15.75" customHeight="1">
      <c r="L34" s="20"/>
      <c r="M34" s="20"/>
      <c r="O34" s="20"/>
      <c r="R34" s="22"/>
      <c r="AE34" s="17"/>
      <c r="AF34" s="17"/>
    </row>
    <row r="35" ht="15.75" customHeight="1">
      <c r="L35" s="20"/>
      <c r="M35" s="20"/>
      <c r="O35" s="20"/>
      <c r="R35" s="22"/>
      <c r="AE35" s="17"/>
      <c r="AF35" s="17"/>
    </row>
    <row r="36" ht="15.75" customHeight="1">
      <c r="L36" s="20"/>
      <c r="M36" s="20"/>
      <c r="O36" s="20"/>
      <c r="R36" s="22"/>
      <c r="AE36" s="17"/>
      <c r="AF36" s="17"/>
    </row>
    <row r="37" ht="15.75" customHeight="1">
      <c r="L37" s="20"/>
      <c r="M37" s="20"/>
      <c r="O37" s="20"/>
      <c r="R37" s="22"/>
      <c r="AE37" s="33"/>
      <c r="AF37" s="33"/>
    </row>
    <row r="38" ht="15.75" customHeight="1">
      <c r="L38" s="20"/>
      <c r="M38" s="20"/>
      <c r="O38" s="20"/>
      <c r="R38" s="22"/>
      <c r="X38" s="20"/>
      <c r="Y38" s="20"/>
      <c r="AA38" s="20"/>
      <c r="AD38" s="20"/>
    </row>
    <row r="39" ht="15.75" customHeight="1">
      <c r="L39" s="20"/>
      <c r="M39" s="20"/>
      <c r="O39" s="20"/>
      <c r="R39" s="22"/>
      <c r="X39" s="20"/>
      <c r="Y39" s="20"/>
      <c r="AA39" s="20"/>
      <c r="AD39" s="20"/>
    </row>
    <row r="40" ht="15.75" customHeight="1">
      <c r="L40" s="20"/>
      <c r="M40" s="20"/>
      <c r="O40" s="20"/>
      <c r="R40" s="22"/>
      <c r="X40" s="20"/>
      <c r="Y40" s="20"/>
      <c r="AA40" s="20"/>
      <c r="AD40" s="20"/>
    </row>
    <row r="41" ht="15.75" customHeight="1">
      <c r="L41" s="20"/>
      <c r="M41" s="20"/>
      <c r="O41" s="20"/>
      <c r="R41" s="22"/>
      <c r="X41" s="20"/>
      <c r="Y41" s="20"/>
      <c r="AA41" s="20"/>
      <c r="AD41" s="20"/>
    </row>
    <row r="42" ht="15.75" customHeight="1">
      <c r="L42" s="20"/>
      <c r="M42" s="20"/>
      <c r="O42" s="20"/>
      <c r="R42" s="22"/>
      <c r="X42" s="20"/>
      <c r="Y42" s="20"/>
      <c r="AA42" s="20"/>
      <c r="AD42" s="20"/>
    </row>
    <row r="43" ht="15.75" customHeight="1">
      <c r="L43" s="20"/>
      <c r="M43" s="20"/>
      <c r="O43" s="20"/>
      <c r="R43" s="22"/>
    </row>
    <row r="44" ht="15.75" customHeight="1">
      <c r="L44" s="20"/>
      <c r="M44" s="20"/>
      <c r="O44" s="20"/>
      <c r="R44" s="22"/>
    </row>
    <row r="45" ht="15.75" customHeight="1">
      <c r="L45" s="20"/>
      <c r="M45" s="20"/>
      <c r="O45" s="20"/>
      <c r="R45" s="22"/>
    </row>
    <row r="46" ht="15.75" customHeight="1">
      <c r="L46" s="20"/>
      <c r="M46" s="20"/>
      <c r="O46" s="20"/>
      <c r="R46" s="22"/>
    </row>
    <row r="47" ht="15.75" customHeight="1">
      <c r="L47" s="20"/>
      <c r="M47" s="20"/>
      <c r="O47" s="20"/>
      <c r="R47" s="22"/>
    </row>
    <row r="48" ht="15.75" customHeight="1">
      <c r="L48" s="20"/>
      <c r="M48" s="20"/>
      <c r="O48" s="20"/>
      <c r="R48" s="22"/>
    </row>
    <row r="49" ht="15.75" customHeight="1">
      <c r="L49" s="20"/>
      <c r="M49" s="20"/>
      <c r="O49" s="20"/>
      <c r="R49" s="22"/>
    </row>
    <row r="50" ht="15.75" customHeight="1">
      <c r="L50" s="20"/>
      <c r="M50" s="20"/>
      <c r="O50" s="20"/>
      <c r="R50" s="22"/>
    </row>
    <row r="51" ht="15.75" customHeight="1">
      <c r="L51" s="20"/>
      <c r="M51" s="20"/>
      <c r="O51" s="20"/>
      <c r="R51" s="22"/>
    </row>
    <row r="52" ht="15.75" customHeight="1">
      <c r="L52" s="20"/>
      <c r="M52" s="20"/>
      <c r="O52" s="20"/>
      <c r="R52" s="22"/>
    </row>
    <row r="53" ht="15.75" customHeight="1">
      <c r="L53" s="20"/>
      <c r="M53" s="20"/>
      <c r="O53" s="20"/>
      <c r="R53" s="22"/>
    </row>
    <row r="54" ht="15.75" customHeight="1">
      <c r="L54" s="20"/>
      <c r="M54" s="20"/>
      <c r="O54" s="20"/>
      <c r="R54" s="22"/>
    </row>
    <row r="55" ht="15.75" customHeight="1">
      <c r="L55" s="20"/>
      <c r="M55" s="20"/>
      <c r="O55" s="20"/>
      <c r="R55" s="22"/>
    </row>
    <row r="56" ht="15.75" customHeight="1">
      <c r="L56" s="20"/>
      <c r="M56" s="20"/>
      <c r="O56" s="20"/>
      <c r="R56" s="22"/>
    </row>
    <row r="57" ht="15.75" customHeight="1">
      <c r="L57" s="20"/>
      <c r="M57" s="20"/>
      <c r="O57" s="20"/>
      <c r="R57" s="22"/>
    </row>
    <row r="58" ht="15.75" customHeight="1">
      <c r="L58" s="20"/>
      <c r="M58" s="20"/>
      <c r="O58" s="20"/>
      <c r="R58" s="22"/>
    </row>
    <row r="59" ht="15.75" customHeight="1">
      <c r="L59" s="20"/>
      <c r="M59" s="20"/>
      <c r="O59" s="20"/>
      <c r="R59" s="22"/>
    </row>
    <row r="60" ht="15.75" customHeight="1">
      <c r="L60" s="20"/>
      <c r="M60" s="20"/>
      <c r="O60" s="20"/>
      <c r="R60" s="22"/>
    </row>
    <row r="61" ht="15.75" customHeight="1">
      <c r="L61" s="20"/>
      <c r="M61" s="20"/>
      <c r="O61" s="20"/>
      <c r="R61" s="22"/>
    </row>
    <row r="62" ht="15.75" customHeight="1">
      <c r="L62" s="20"/>
      <c r="M62" s="20"/>
      <c r="O62" s="20"/>
      <c r="R62" s="22"/>
    </row>
    <row r="63" ht="15.75" customHeight="1">
      <c r="L63" s="20"/>
      <c r="M63" s="20"/>
      <c r="O63" s="20"/>
      <c r="R63" s="22"/>
    </row>
    <row r="64" ht="15.75" customHeight="1">
      <c r="L64" s="20"/>
      <c r="M64" s="20"/>
      <c r="O64" s="20"/>
      <c r="R64" s="22"/>
    </row>
    <row r="65" ht="15.75" customHeight="1">
      <c r="L65" s="20"/>
      <c r="M65" s="20"/>
      <c r="O65" s="20"/>
      <c r="R65" s="22"/>
    </row>
    <row r="66" ht="15.75" customHeight="1">
      <c r="L66" s="20"/>
      <c r="M66" s="20"/>
      <c r="O66" s="20"/>
      <c r="R66" s="22"/>
    </row>
    <row r="67" ht="15.75" customHeight="1">
      <c r="L67" s="20"/>
      <c r="M67" s="20"/>
      <c r="O67" s="20"/>
      <c r="R67" s="22"/>
    </row>
    <row r="68" ht="15.75" customHeight="1">
      <c r="L68" s="20"/>
      <c r="M68" s="20"/>
      <c r="O68" s="20"/>
      <c r="R68" s="22"/>
    </row>
    <row r="69" ht="15.75" customHeight="1">
      <c r="L69" s="20"/>
      <c r="M69" s="20"/>
      <c r="O69" s="20"/>
      <c r="R69" s="22"/>
    </row>
    <row r="70" ht="15.75" customHeight="1">
      <c r="L70" s="20"/>
      <c r="M70" s="20"/>
      <c r="O70" s="20"/>
      <c r="R70" s="22"/>
    </row>
    <row r="71" ht="15.75" customHeight="1">
      <c r="L71" s="20"/>
      <c r="M71" s="20"/>
      <c r="O71" s="20"/>
      <c r="R71" s="22"/>
    </row>
    <row r="72" ht="15.75" customHeight="1">
      <c r="L72" s="20"/>
      <c r="M72" s="20"/>
      <c r="O72" s="20"/>
      <c r="R72" s="22"/>
    </row>
    <row r="73" ht="15.75" customHeight="1">
      <c r="L73" s="20"/>
      <c r="M73" s="20"/>
      <c r="O73" s="20"/>
      <c r="R73" s="22"/>
    </row>
    <row r="74" ht="15.75" customHeight="1">
      <c r="L74" s="20"/>
      <c r="M74" s="20"/>
      <c r="O74" s="20"/>
      <c r="R74" s="22"/>
    </row>
    <row r="75" ht="15.75" customHeight="1">
      <c r="L75" s="20"/>
      <c r="M75" s="20"/>
      <c r="O75" s="20"/>
      <c r="R75" s="22"/>
    </row>
    <row r="76" ht="15.75" customHeight="1">
      <c r="L76" s="20"/>
      <c r="M76" s="20"/>
      <c r="O76" s="20"/>
      <c r="R76" s="22"/>
    </row>
    <row r="77" ht="15.75" customHeight="1">
      <c r="L77" s="20"/>
      <c r="M77" s="20"/>
      <c r="O77" s="20"/>
      <c r="R77" s="22"/>
    </row>
    <row r="78" ht="15.75" customHeight="1">
      <c r="L78" s="20"/>
      <c r="M78" s="20"/>
      <c r="O78" s="20"/>
      <c r="R78" s="22"/>
    </row>
    <row r="79" ht="15.75" customHeight="1">
      <c r="L79" s="20"/>
      <c r="M79" s="20"/>
      <c r="O79" s="20"/>
      <c r="R79" s="22"/>
    </row>
    <row r="80" ht="15.75" customHeight="1">
      <c r="L80" s="20"/>
      <c r="M80" s="20"/>
      <c r="O80" s="20"/>
      <c r="R80" s="22"/>
    </row>
    <row r="81" ht="15.75" customHeight="1">
      <c r="L81" s="20"/>
      <c r="M81" s="20"/>
      <c r="O81" s="20"/>
      <c r="R81" s="22"/>
    </row>
    <row r="82" ht="15.75" customHeight="1">
      <c r="L82" s="20"/>
      <c r="M82" s="20"/>
      <c r="O82" s="20"/>
      <c r="R82" s="22"/>
    </row>
    <row r="83" ht="15.75" customHeight="1">
      <c r="L83" s="20"/>
      <c r="M83" s="20"/>
      <c r="O83" s="20"/>
      <c r="R83" s="22"/>
    </row>
    <row r="84" ht="15.75" customHeight="1">
      <c r="L84" s="20"/>
      <c r="M84" s="20"/>
      <c r="O84" s="20"/>
      <c r="R84" s="22"/>
    </row>
    <row r="85" ht="15.75" customHeight="1">
      <c r="L85" s="20"/>
      <c r="M85" s="20"/>
      <c r="O85" s="20"/>
      <c r="R85" s="22"/>
    </row>
    <row r="86" ht="15.75" customHeight="1">
      <c r="L86" s="20"/>
      <c r="M86" s="20"/>
      <c r="O86" s="20"/>
      <c r="R86" s="22"/>
    </row>
    <row r="87" ht="15.75" customHeight="1">
      <c r="L87" s="20"/>
      <c r="M87" s="20"/>
      <c r="O87" s="20"/>
      <c r="R87" s="22"/>
    </row>
    <row r="88" ht="15.75" customHeight="1">
      <c r="L88" s="20"/>
      <c r="M88" s="20"/>
      <c r="O88" s="20"/>
      <c r="R88" s="22"/>
    </row>
    <row r="89" ht="15.75" customHeight="1">
      <c r="L89" s="20"/>
      <c r="M89" s="20"/>
      <c r="O89" s="20"/>
      <c r="R89" s="22"/>
    </row>
    <row r="90" ht="15.75" customHeight="1">
      <c r="L90" s="20"/>
      <c r="M90" s="20"/>
      <c r="O90" s="20"/>
      <c r="R90" s="22"/>
    </row>
    <row r="91" ht="15.75" customHeight="1">
      <c r="L91" s="20"/>
      <c r="M91" s="20"/>
      <c r="O91" s="20"/>
      <c r="R91" s="22"/>
    </row>
    <row r="92" ht="15.75" customHeight="1">
      <c r="L92" s="20"/>
      <c r="M92" s="20"/>
      <c r="O92" s="20"/>
      <c r="R92" s="22"/>
    </row>
    <row r="93" ht="15.75" customHeight="1">
      <c r="L93" s="20"/>
      <c r="M93" s="20"/>
      <c r="O93" s="20"/>
      <c r="R93" s="22"/>
    </row>
    <row r="94" ht="15.75" customHeight="1">
      <c r="L94" s="20"/>
      <c r="M94" s="20"/>
      <c r="O94" s="20"/>
      <c r="R94" s="22"/>
    </row>
    <row r="95" ht="15.75" customHeight="1">
      <c r="L95" s="20"/>
      <c r="M95" s="20"/>
      <c r="O95" s="20"/>
      <c r="R95" s="22"/>
    </row>
    <row r="96" ht="15.75" customHeight="1">
      <c r="L96" s="20"/>
      <c r="M96" s="20"/>
      <c r="O96" s="20"/>
      <c r="R96" s="22"/>
    </row>
    <row r="97" ht="15.75" customHeight="1">
      <c r="L97" s="20"/>
      <c r="M97" s="20"/>
      <c r="O97" s="20"/>
      <c r="R97" s="22"/>
    </row>
    <row r="98" ht="15.75" customHeight="1">
      <c r="L98" s="20"/>
      <c r="M98" s="20"/>
      <c r="O98" s="20"/>
      <c r="R98" s="22"/>
    </row>
    <row r="99" ht="15.75" customHeight="1">
      <c r="L99" s="20"/>
      <c r="M99" s="20"/>
      <c r="O99" s="20"/>
      <c r="R99" s="22"/>
      <c r="T99" s="17"/>
    </row>
    <row r="100" ht="15.75" customHeight="1">
      <c r="L100" s="20"/>
      <c r="M100" s="20"/>
      <c r="O100" s="20"/>
      <c r="R100" s="22"/>
      <c r="T100" s="17"/>
    </row>
    <row r="101" ht="15.75" customHeight="1">
      <c r="L101" s="20"/>
      <c r="M101" s="20"/>
      <c r="O101" s="20"/>
      <c r="R101" s="22"/>
      <c r="T101" s="17"/>
    </row>
    <row r="102" ht="15.75" customHeight="1">
      <c r="L102" s="20"/>
      <c r="M102" s="20"/>
      <c r="O102" s="20"/>
      <c r="R102" s="22"/>
      <c r="T102" s="17"/>
    </row>
    <row r="103" ht="15.75" customHeight="1">
      <c r="L103" s="20"/>
      <c r="M103" s="20"/>
      <c r="O103" s="20"/>
      <c r="R103" s="22"/>
      <c r="T103" s="17"/>
    </row>
    <row r="104" ht="15.75" customHeight="1">
      <c r="L104" s="20"/>
      <c r="M104" s="20"/>
      <c r="O104" s="20"/>
      <c r="R104" s="22"/>
      <c r="T104" s="17"/>
    </row>
    <row r="105" ht="15.75" customHeight="1">
      <c r="L105" s="20"/>
      <c r="M105" s="20"/>
      <c r="O105" s="20"/>
      <c r="R105" s="22"/>
      <c r="T105" s="17"/>
    </row>
    <row r="106" ht="15.75" customHeight="1">
      <c r="L106" s="20"/>
      <c r="M106" s="20"/>
      <c r="O106" s="20"/>
      <c r="R106" s="22"/>
      <c r="T106" s="17"/>
    </row>
    <row r="107" ht="15.75" customHeight="1">
      <c r="L107" s="20"/>
      <c r="M107" s="20"/>
      <c r="O107" s="20"/>
      <c r="R107" s="22"/>
      <c r="T107" s="17"/>
    </row>
    <row r="108" ht="15.75" customHeight="1">
      <c r="L108" s="20"/>
      <c r="M108" s="20"/>
      <c r="O108" s="20"/>
      <c r="R108" s="22"/>
      <c r="T108" s="17"/>
    </row>
    <row r="109" ht="15.75" customHeight="1">
      <c r="L109" s="20"/>
      <c r="M109" s="20"/>
      <c r="O109" s="20"/>
      <c r="R109" s="22"/>
      <c r="T109" s="17"/>
    </row>
    <row r="110" ht="15.75" customHeight="1">
      <c r="L110" s="20"/>
      <c r="M110" s="20"/>
      <c r="O110" s="20"/>
      <c r="R110" s="22"/>
      <c r="T110" s="17"/>
    </row>
    <row r="111" ht="15.75" customHeight="1">
      <c r="L111" s="20"/>
      <c r="M111" s="20"/>
      <c r="O111" s="20"/>
      <c r="R111" s="22"/>
      <c r="T111" s="17"/>
    </row>
    <row r="112" ht="15.75" customHeight="1">
      <c r="L112" s="20"/>
      <c r="M112" s="20"/>
      <c r="O112" s="20"/>
      <c r="R112" s="22"/>
      <c r="T112" s="17"/>
    </row>
    <row r="113" ht="15.75" customHeight="1">
      <c r="L113" s="20"/>
      <c r="M113" s="20"/>
      <c r="O113" s="20"/>
      <c r="R113" s="22"/>
      <c r="T113" s="17"/>
    </row>
    <row r="114" ht="15.75" customHeight="1">
      <c r="L114" s="20"/>
      <c r="M114" s="20"/>
      <c r="O114" s="20"/>
      <c r="R114" s="22"/>
      <c r="T114" s="17"/>
    </row>
    <row r="115" ht="15.75" customHeight="1">
      <c r="L115" s="20"/>
      <c r="M115" s="20"/>
      <c r="O115" s="20"/>
      <c r="R115" s="22"/>
      <c r="T115" s="17"/>
    </row>
    <row r="116" ht="15.75" customHeight="1">
      <c r="L116" s="20"/>
      <c r="M116" s="20"/>
      <c r="O116" s="20"/>
      <c r="R116" s="22"/>
      <c r="T116" s="17"/>
    </row>
    <row r="117" ht="15.75" customHeight="1">
      <c r="L117" s="20"/>
      <c r="M117" s="20"/>
      <c r="O117" s="20"/>
      <c r="R117" s="22"/>
      <c r="T117" s="17"/>
    </row>
    <row r="118" ht="15.75" customHeight="1">
      <c r="L118" s="20"/>
      <c r="M118" s="20"/>
      <c r="O118" s="20"/>
      <c r="R118" s="22"/>
      <c r="T118" s="17"/>
    </row>
    <row r="119" ht="15.75" customHeight="1">
      <c r="L119" s="20"/>
      <c r="M119" s="20"/>
      <c r="O119" s="20"/>
      <c r="R119" s="22"/>
      <c r="T119" s="17"/>
    </row>
    <row r="120" ht="15.75" customHeight="1">
      <c r="L120" s="20"/>
      <c r="M120" s="20"/>
      <c r="O120" s="20"/>
      <c r="R120" s="22"/>
      <c r="T120" s="17"/>
    </row>
    <row r="121" ht="15.75" customHeight="1">
      <c r="L121" s="20"/>
      <c r="M121" s="20"/>
      <c r="O121" s="20"/>
      <c r="R121" s="22"/>
      <c r="T121" s="17"/>
    </row>
    <row r="122" ht="15.75" customHeight="1">
      <c r="L122" s="20"/>
      <c r="M122" s="20"/>
      <c r="O122" s="20"/>
      <c r="R122" s="22"/>
      <c r="T122" s="17"/>
    </row>
    <row r="123" ht="15.75" customHeight="1">
      <c r="L123" s="20"/>
      <c r="M123" s="20"/>
      <c r="O123" s="20"/>
      <c r="R123" s="22"/>
    </row>
    <row r="124" ht="15.75" customHeight="1">
      <c r="L124" s="20"/>
      <c r="M124" s="20"/>
      <c r="O124" s="20"/>
      <c r="R124" s="22"/>
    </row>
    <row r="125" ht="15.75" customHeight="1">
      <c r="L125" s="20"/>
      <c r="M125" s="20"/>
      <c r="O125" s="20"/>
      <c r="R125" s="22"/>
    </row>
    <row r="126" ht="15.75" customHeight="1">
      <c r="L126" s="20"/>
      <c r="M126" s="20"/>
      <c r="O126" s="20"/>
      <c r="R126" s="22"/>
    </row>
    <row r="127" ht="15.75" customHeight="1">
      <c r="L127" s="20"/>
      <c r="M127" s="20"/>
      <c r="O127" s="20"/>
      <c r="R127" s="22"/>
    </row>
    <row r="128" ht="15.75" customHeight="1">
      <c r="L128" s="20"/>
      <c r="M128" s="20"/>
      <c r="O128" s="20"/>
      <c r="R128" s="22"/>
    </row>
    <row r="129" ht="15.75" customHeight="1">
      <c r="L129" s="20"/>
      <c r="M129" s="20"/>
      <c r="O129" s="20"/>
      <c r="R129" s="22"/>
    </row>
    <row r="130" ht="15.75" customHeight="1">
      <c r="L130" s="20"/>
      <c r="M130" s="20"/>
      <c r="O130" s="20"/>
      <c r="R130" s="22"/>
    </row>
    <row r="131" ht="15.75" customHeight="1">
      <c r="L131" s="20"/>
      <c r="M131" s="20"/>
      <c r="O131" s="20"/>
      <c r="R131" s="22"/>
    </row>
    <row r="132" ht="15.75" customHeight="1">
      <c r="L132" s="20"/>
      <c r="M132" s="20"/>
      <c r="O132" s="20"/>
      <c r="R132" s="22"/>
    </row>
    <row r="133" ht="15.75" customHeight="1">
      <c r="L133" s="20"/>
      <c r="M133" s="20"/>
      <c r="O133" s="20"/>
      <c r="R133" s="22"/>
    </row>
    <row r="134" ht="15.75" customHeight="1">
      <c r="L134" s="20"/>
      <c r="M134" s="20"/>
      <c r="O134" s="20"/>
      <c r="R134" s="22"/>
    </row>
    <row r="135" ht="15.75" customHeight="1">
      <c r="L135" s="20"/>
      <c r="M135" s="20"/>
      <c r="O135" s="20"/>
      <c r="R135" s="22"/>
    </row>
    <row r="136" ht="15.75" customHeight="1">
      <c r="L136" s="20"/>
      <c r="M136" s="20"/>
      <c r="O136" s="20"/>
      <c r="R136" s="22"/>
    </row>
    <row r="137" ht="15.75" customHeight="1">
      <c r="L137" s="20"/>
      <c r="M137" s="20"/>
      <c r="O137" s="20"/>
      <c r="R137" s="22"/>
    </row>
    <row r="138" ht="15.75" customHeight="1">
      <c r="L138" s="20"/>
      <c r="M138" s="20"/>
      <c r="O138" s="20"/>
      <c r="R138" s="22"/>
    </row>
    <row r="139" ht="15.75" customHeight="1">
      <c r="L139" s="20"/>
      <c r="M139" s="20"/>
      <c r="O139" s="20"/>
      <c r="R139" s="22"/>
    </row>
    <row r="140" ht="15.75" customHeight="1">
      <c r="L140" s="20"/>
      <c r="M140" s="20"/>
      <c r="O140" s="20"/>
      <c r="R140" s="22"/>
    </row>
    <row r="141" ht="15.75" customHeight="1">
      <c r="L141" s="20"/>
      <c r="M141" s="20"/>
      <c r="O141" s="20"/>
      <c r="R141" s="22"/>
    </row>
    <row r="142" ht="15.75" customHeight="1">
      <c r="L142" s="20"/>
      <c r="M142" s="20"/>
      <c r="O142" s="20"/>
      <c r="R142" s="22"/>
    </row>
    <row r="143" ht="15.75" customHeight="1">
      <c r="L143" s="20"/>
      <c r="M143" s="20"/>
      <c r="O143" s="20"/>
      <c r="R143" s="22"/>
    </row>
    <row r="144" ht="15.75" customHeight="1">
      <c r="L144" s="20"/>
      <c r="M144" s="20"/>
      <c r="O144" s="20"/>
      <c r="R144" s="22"/>
    </row>
    <row r="145" ht="15.75" customHeight="1">
      <c r="L145" s="20"/>
      <c r="M145" s="20"/>
      <c r="O145" s="20"/>
      <c r="R145" s="22"/>
    </row>
    <row r="146" ht="15.75" customHeight="1">
      <c r="L146" s="20"/>
      <c r="M146" s="20"/>
      <c r="O146" s="20"/>
      <c r="R146" s="22"/>
    </row>
    <row r="147" ht="15.75" customHeight="1">
      <c r="L147" s="20"/>
      <c r="M147" s="20"/>
      <c r="O147" s="20"/>
      <c r="R147" s="22"/>
    </row>
    <row r="148" ht="15.75" customHeight="1">
      <c r="L148" s="20"/>
      <c r="M148" s="20"/>
      <c r="O148" s="20"/>
      <c r="R148" s="22"/>
    </row>
    <row r="149" ht="15.75" customHeight="1">
      <c r="L149" s="20"/>
      <c r="M149" s="20"/>
      <c r="O149" s="20"/>
      <c r="R149" s="22"/>
    </row>
    <row r="150" ht="15.75" customHeight="1">
      <c r="L150" s="20"/>
      <c r="M150" s="20"/>
      <c r="O150" s="20"/>
      <c r="R150" s="22"/>
    </row>
    <row r="151" ht="15.75" customHeight="1">
      <c r="L151" s="20"/>
      <c r="M151" s="20"/>
      <c r="O151" s="20"/>
      <c r="R151" s="22"/>
    </row>
    <row r="152" ht="15.75" customHeight="1">
      <c r="L152" s="20"/>
      <c r="M152" s="20"/>
      <c r="O152" s="20"/>
      <c r="R152" s="22"/>
    </row>
    <row r="153" ht="15.75" customHeight="1">
      <c r="L153" s="20"/>
      <c r="M153" s="20"/>
      <c r="O153" s="20"/>
      <c r="R153" s="22"/>
    </row>
    <row r="154" ht="15.75" customHeight="1">
      <c r="L154" s="20"/>
      <c r="M154" s="20"/>
      <c r="O154" s="20"/>
      <c r="R154" s="22"/>
    </row>
    <row r="155" ht="15.75" customHeight="1">
      <c r="L155" s="20"/>
      <c r="M155" s="20"/>
      <c r="O155" s="20"/>
      <c r="R155" s="22"/>
    </row>
    <row r="156" ht="15.75" customHeight="1">
      <c r="L156" s="20"/>
      <c r="M156" s="20"/>
      <c r="O156" s="20"/>
      <c r="R156" s="22"/>
    </row>
    <row r="157" ht="15.75" customHeight="1">
      <c r="L157" s="20"/>
      <c r="M157" s="20"/>
      <c r="O157" s="20"/>
      <c r="R157" s="22"/>
    </row>
    <row r="158" ht="15.75" customHeight="1">
      <c r="L158" s="20"/>
      <c r="M158" s="20"/>
      <c r="O158" s="20"/>
      <c r="R158" s="22"/>
    </row>
    <row r="159" ht="15.75" customHeight="1">
      <c r="L159" s="20"/>
      <c r="M159" s="20"/>
      <c r="O159" s="20"/>
      <c r="R159" s="22"/>
    </row>
    <row r="160" ht="15.75" customHeight="1">
      <c r="L160" s="20"/>
      <c r="M160" s="20"/>
      <c r="O160" s="20"/>
      <c r="R160" s="22"/>
    </row>
    <row r="161" ht="15.75" customHeight="1">
      <c r="L161" s="20"/>
      <c r="M161" s="20"/>
      <c r="O161" s="20"/>
      <c r="R161" s="22"/>
    </row>
    <row r="162" ht="15.75" customHeight="1">
      <c r="L162" s="20"/>
      <c r="M162" s="20"/>
      <c r="O162" s="20"/>
      <c r="R162" s="22"/>
    </row>
    <row r="163" ht="15.75" customHeight="1">
      <c r="L163" s="20"/>
      <c r="M163" s="20"/>
      <c r="O163" s="20"/>
      <c r="R163" s="22"/>
    </row>
    <row r="164" ht="15.75" customHeight="1">
      <c r="L164" s="20"/>
      <c r="M164" s="20"/>
      <c r="O164" s="20"/>
      <c r="R164" s="22"/>
    </row>
    <row r="165" ht="15.75" customHeight="1">
      <c r="L165" s="20"/>
      <c r="M165" s="20"/>
      <c r="O165" s="20"/>
      <c r="R165" s="22"/>
    </row>
    <row r="166" ht="15.75" customHeight="1">
      <c r="L166" s="20"/>
      <c r="M166" s="20"/>
      <c r="O166" s="20"/>
      <c r="R166" s="22"/>
    </row>
    <row r="167" ht="15.75" customHeight="1">
      <c r="L167" s="20"/>
      <c r="M167" s="20"/>
      <c r="O167" s="20"/>
      <c r="R167" s="22"/>
    </row>
    <row r="168" ht="15.75" customHeight="1">
      <c r="L168" s="20"/>
      <c r="M168" s="20"/>
      <c r="O168" s="20"/>
      <c r="R168" s="22"/>
    </row>
    <row r="169" ht="15.75" customHeight="1">
      <c r="L169" s="20"/>
      <c r="M169" s="20"/>
      <c r="O169" s="20"/>
      <c r="R169" s="22"/>
    </row>
    <row r="170" ht="15.75" customHeight="1">
      <c r="L170" s="20"/>
      <c r="M170" s="20"/>
      <c r="O170" s="20"/>
      <c r="R170" s="22"/>
    </row>
    <row r="171" ht="15.75" customHeight="1">
      <c r="L171" s="20"/>
      <c r="M171" s="20"/>
      <c r="O171" s="20"/>
      <c r="R171" s="22"/>
    </row>
    <row r="172" ht="15.75" customHeight="1">
      <c r="L172" s="20"/>
      <c r="M172" s="20"/>
      <c r="O172" s="20"/>
      <c r="R172" s="22"/>
    </row>
    <row r="173" ht="15.75" customHeight="1">
      <c r="L173" s="20"/>
      <c r="M173" s="20"/>
      <c r="O173" s="20"/>
      <c r="R173" s="22"/>
    </row>
    <row r="174" ht="15.75" customHeight="1">
      <c r="L174" s="20"/>
      <c r="M174" s="20"/>
      <c r="O174" s="20"/>
      <c r="R174" s="22"/>
    </row>
    <row r="175" ht="15.75" customHeight="1">
      <c r="L175" s="20"/>
      <c r="M175" s="20"/>
      <c r="O175" s="20"/>
      <c r="R175" s="22"/>
    </row>
    <row r="176" ht="15.75" customHeight="1">
      <c r="L176" s="20"/>
      <c r="M176" s="20"/>
      <c r="O176" s="20"/>
      <c r="R176" s="22"/>
    </row>
    <row r="177" ht="15.75" customHeight="1">
      <c r="L177" s="20"/>
      <c r="M177" s="20"/>
      <c r="O177" s="20"/>
      <c r="R177" s="22"/>
    </row>
    <row r="178" ht="15.75" customHeight="1">
      <c r="L178" s="20"/>
      <c r="M178" s="20"/>
      <c r="O178" s="20"/>
      <c r="R178" s="22"/>
    </row>
    <row r="179" ht="15.75" customHeight="1">
      <c r="L179" s="20"/>
      <c r="M179" s="20"/>
      <c r="O179" s="20"/>
      <c r="R179" s="22"/>
    </row>
    <row r="180" ht="15.75" customHeight="1">
      <c r="L180" s="20"/>
      <c r="M180" s="20"/>
      <c r="O180" s="20"/>
      <c r="R180" s="22"/>
    </row>
    <row r="181" ht="15.75" customHeight="1">
      <c r="L181" s="20"/>
      <c r="M181" s="20"/>
      <c r="O181" s="20"/>
      <c r="R181" s="22"/>
    </row>
    <row r="182" ht="15.75" customHeight="1">
      <c r="L182" s="20"/>
      <c r="M182" s="20"/>
      <c r="O182" s="20"/>
      <c r="R182" s="22"/>
    </row>
    <row r="183" ht="15.75" customHeight="1">
      <c r="L183" s="20"/>
      <c r="M183" s="20"/>
      <c r="O183" s="20"/>
      <c r="R183" s="22"/>
    </row>
    <row r="184" ht="15.75" customHeight="1">
      <c r="L184" s="20"/>
      <c r="M184" s="20"/>
      <c r="O184" s="20"/>
      <c r="R184" s="22"/>
    </row>
    <row r="185" ht="15.75" customHeight="1">
      <c r="L185" s="20"/>
      <c r="M185" s="20"/>
      <c r="O185" s="20"/>
      <c r="R185" s="22"/>
    </row>
    <row r="186" ht="15.75" customHeight="1">
      <c r="L186" s="20"/>
      <c r="M186" s="20"/>
      <c r="O186" s="20"/>
      <c r="R186" s="22"/>
    </row>
    <row r="187" ht="15.75" customHeight="1">
      <c r="L187" s="20"/>
      <c r="M187" s="20"/>
      <c r="O187" s="20"/>
      <c r="R187" s="22"/>
    </row>
    <row r="188" ht="15.75" customHeight="1">
      <c r="L188" s="20"/>
      <c r="M188" s="20"/>
      <c r="O188" s="20"/>
      <c r="R188" s="22"/>
    </row>
    <row r="189" ht="15.75" customHeight="1">
      <c r="L189" s="20"/>
      <c r="M189" s="20"/>
      <c r="O189" s="20"/>
      <c r="R189" s="22"/>
    </row>
    <row r="190" ht="15.75" customHeight="1">
      <c r="L190" s="20"/>
      <c r="M190" s="20"/>
      <c r="O190" s="20"/>
      <c r="R190" s="22"/>
    </row>
    <row r="191" ht="15.75" customHeight="1">
      <c r="L191" s="20"/>
      <c r="M191" s="20"/>
      <c r="O191" s="20"/>
      <c r="R191" s="22"/>
    </row>
    <row r="192" ht="15.75" customHeight="1">
      <c r="L192" s="20"/>
      <c r="M192" s="20"/>
      <c r="O192" s="20"/>
      <c r="R192" s="22"/>
    </row>
    <row r="193" ht="15.75" customHeight="1">
      <c r="L193" s="20"/>
      <c r="M193" s="20"/>
      <c r="O193" s="20"/>
      <c r="R193" s="22"/>
    </row>
    <row r="194" ht="15.75" customHeight="1">
      <c r="L194" s="20"/>
      <c r="M194" s="20"/>
      <c r="O194" s="20"/>
      <c r="R194" s="22"/>
    </row>
    <row r="195" ht="15.75" customHeight="1">
      <c r="L195" s="20"/>
      <c r="M195" s="20"/>
      <c r="O195" s="20"/>
      <c r="R195" s="22"/>
    </row>
    <row r="196" ht="15.75" customHeight="1">
      <c r="L196" s="20"/>
      <c r="M196" s="20"/>
      <c r="O196" s="20"/>
      <c r="R196" s="22"/>
    </row>
    <row r="197" ht="15.75" customHeight="1">
      <c r="L197" s="20"/>
      <c r="M197" s="20"/>
      <c r="O197" s="20"/>
      <c r="R197" s="22"/>
    </row>
    <row r="198" ht="15.75" customHeight="1">
      <c r="L198" s="20"/>
      <c r="M198" s="20"/>
      <c r="O198" s="20"/>
      <c r="R198" s="22"/>
    </row>
    <row r="199" ht="15.75" customHeight="1">
      <c r="L199" s="20"/>
      <c r="M199" s="20"/>
      <c r="O199" s="20"/>
      <c r="R199" s="22"/>
    </row>
    <row r="200" ht="15.75" customHeight="1">
      <c r="L200" s="20"/>
      <c r="M200" s="20"/>
      <c r="O200" s="20"/>
      <c r="R200" s="22"/>
    </row>
    <row r="201" ht="15.75" customHeight="1">
      <c r="L201" s="20"/>
      <c r="M201" s="20"/>
      <c r="O201" s="20"/>
      <c r="R201" s="22"/>
    </row>
    <row r="202" ht="15.75" customHeight="1">
      <c r="L202" s="20"/>
      <c r="M202" s="20"/>
      <c r="O202" s="20"/>
      <c r="R202" s="22"/>
    </row>
    <row r="203" ht="15.75" customHeight="1">
      <c r="L203" s="20"/>
      <c r="M203" s="20"/>
      <c r="O203" s="20"/>
      <c r="R203" s="22"/>
    </row>
    <row r="204" ht="15.75" customHeight="1">
      <c r="L204" s="20"/>
      <c r="M204" s="20"/>
      <c r="O204" s="20"/>
      <c r="R204" s="22"/>
    </row>
    <row r="205" ht="15.75" customHeight="1">
      <c r="L205" s="20"/>
      <c r="M205" s="20"/>
      <c r="O205" s="20"/>
      <c r="R205" s="22"/>
    </row>
    <row r="206" ht="15.75" customHeight="1">
      <c r="L206" s="20"/>
      <c r="M206" s="20"/>
      <c r="O206" s="20"/>
      <c r="R206" s="22"/>
    </row>
    <row r="207" ht="15.75" customHeight="1">
      <c r="L207" s="20"/>
      <c r="M207" s="20"/>
      <c r="O207" s="20"/>
      <c r="R207" s="22"/>
    </row>
    <row r="208" ht="15.75" customHeight="1">
      <c r="L208" s="20"/>
      <c r="M208" s="20"/>
      <c r="O208" s="20"/>
      <c r="R208" s="22"/>
    </row>
    <row r="209" ht="15.75" customHeight="1">
      <c r="L209" s="20"/>
      <c r="M209" s="20"/>
      <c r="O209" s="20"/>
      <c r="R209" s="22"/>
    </row>
    <row r="210" ht="15.75" customHeight="1">
      <c r="L210" s="20"/>
      <c r="M210" s="20"/>
      <c r="O210" s="20"/>
      <c r="R210" s="22"/>
    </row>
    <row r="211" ht="15.75" customHeight="1">
      <c r="L211" s="20"/>
      <c r="M211" s="20"/>
      <c r="O211" s="20"/>
      <c r="R211" s="22"/>
    </row>
    <row r="212" ht="15.75" customHeight="1">
      <c r="L212" s="20"/>
      <c r="M212" s="20"/>
      <c r="O212" s="20"/>
      <c r="R212" s="22"/>
    </row>
    <row r="213" ht="15.75" customHeight="1">
      <c r="L213" s="20"/>
      <c r="M213" s="20"/>
      <c r="O213" s="20"/>
      <c r="R213" s="22"/>
    </row>
    <row r="214" ht="15.75" customHeight="1">
      <c r="L214" s="20"/>
      <c r="M214" s="20"/>
      <c r="O214" s="20"/>
      <c r="R214" s="22"/>
    </row>
    <row r="215" ht="15.75" customHeight="1">
      <c r="L215" s="20"/>
      <c r="M215" s="20"/>
      <c r="O215" s="20"/>
      <c r="R215" s="22"/>
    </row>
    <row r="216" ht="15.75" customHeight="1">
      <c r="L216" s="20"/>
      <c r="M216" s="20"/>
      <c r="O216" s="20"/>
      <c r="R216" s="22"/>
    </row>
    <row r="217" ht="15.75" customHeight="1">
      <c r="L217" s="20"/>
      <c r="M217" s="20"/>
      <c r="O217" s="20"/>
      <c r="R217" s="22"/>
    </row>
    <row r="218" ht="15.75" customHeight="1">
      <c r="L218" s="20"/>
      <c r="M218" s="20"/>
      <c r="O218" s="20"/>
      <c r="R218" s="22"/>
    </row>
    <row r="219" ht="15.75" customHeight="1">
      <c r="L219" s="20"/>
      <c r="M219" s="20"/>
      <c r="O219" s="20"/>
      <c r="R219" s="22"/>
    </row>
    <row r="220" ht="15.75" customHeight="1">
      <c r="L220" s="20"/>
      <c r="M220" s="20"/>
      <c r="O220" s="20"/>
      <c r="R220" s="22"/>
    </row>
    <row r="221" ht="15.75" customHeight="1">
      <c r="L221" s="20"/>
      <c r="M221" s="20"/>
      <c r="O221" s="20"/>
      <c r="R221" s="22"/>
    </row>
    <row r="222" ht="15.75" customHeight="1">
      <c r="L222" s="20"/>
      <c r="M222" s="20"/>
      <c r="O222" s="20"/>
      <c r="R222" s="22"/>
    </row>
    <row r="223" ht="15.75" customHeight="1">
      <c r="L223" s="20"/>
      <c r="M223" s="20"/>
      <c r="O223" s="20"/>
      <c r="R223" s="22"/>
    </row>
    <row r="224" ht="15.75" customHeight="1">
      <c r="L224" s="20"/>
      <c r="M224" s="20"/>
      <c r="O224" s="20"/>
      <c r="R224" s="22"/>
    </row>
    <row r="225" ht="15.75" customHeight="1">
      <c r="L225" s="20"/>
      <c r="M225" s="20"/>
      <c r="O225" s="20"/>
      <c r="R225" s="22"/>
    </row>
    <row r="226" ht="15.75" customHeight="1">
      <c r="L226" s="20"/>
      <c r="M226" s="20"/>
      <c r="O226" s="20"/>
      <c r="R226" s="22"/>
    </row>
    <row r="227" ht="15.75" customHeight="1">
      <c r="L227" s="20"/>
      <c r="M227" s="20"/>
      <c r="O227" s="20"/>
      <c r="R227" s="22"/>
    </row>
    <row r="228" ht="15.75" customHeight="1">
      <c r="L228" s="20"/>
      <c r="M228" s="20"/>
      <c r="O228" s="20"/>
      <c r="R228" s="22"/>
    </row>
    <row r="229" ht="15.75" customHeight="1">
      <c r="L229" s="20"/>
      <c r="M229" s="20"/>
      <c r="O229" s="20"/>
      <c r="R229" s="22"/>
    </row>
    <row r="230" ht="15.75" customHeight="1">
      <c r="L230" s="20"/>
      <c r="M230" s="20"/>
      <c r="O230" s="20"/>
      <c r="R230" s="22"/>
    </row>
    <row r="231" ht="15.75" customHeight="1">
      <c r="L231" s="20"/>
      <c r="M231" s="20"/>
      <c r="O231" s="20"/>
      <c r="R231" s="22"/>
    </row>
    <row r="232" ht="15.75" customHeight="1">
      <c r="L232" s="20"/>
      <c r="M232" s="20"/>
      <c r="O232" s="20"/>
      <c r="R232" s="22"/>
    </row>
    <row r="233" ht="15.75" customHeight="1">
      <c r="L233" s="20"/>
      <c r="M233" s="20"/>
      <c r="O233" s="20"/>
      <c r="R233" s="22"/>
    </row>
    <row r="234" ht="15.75" customHeight="1">
      <c r="L234" s="20"/>
      <c r="M234" s="20"/>
      <c r="O234" s="20"/>
      <c r="R234" s="22"/>
    </row>
    <row r="235" ht="15.75" customHeight="1">
      <c r="L235" s="20"/>
      <c r="M235" s="20"/>
      <c r="O235" s="20"/>
      <c r="R235" s="22"/>
    </row>
    <row r="236" ht="15.75" customHeight="1">
      <c r="L236" s="20"/>
      <c r="M236" s="20"/>
      <c r="O236" s="20"/>
      <c r="R236" s="22"/>
    </row>
    <row r="237" ht="15.75" customHeight="1">
      <c r="L237" s="20"/>
      <c r="M237" s="20"/>
      <c r="O237" s="20"/>
      <c r="R237" s="22"/>
    </row>
    <row r="238" ht="15.75" customHeight="1">
      <c r="L238" s="20"/>
      <c r="M238" s="20"/>
      <c r="O238" s="20"/>
      <c r="R238" s="22"/>
    </row>
    <row r="239" ht="15.75" customHeight="1">
      <c r="L239" s="20"/>
      <c r="M239" s="20"/>
      <c r="O239" s="20"/>
      <c r="R239" s="22"/>
    </row>
    <row r="240" ht="15.75" customHeight="1">
      <c r="L240" s="20"/>
      <c r="M240" s="20"/>
      <c r="O240" s="20"/>
      <c r="R240" s="22"/>
    </row>
    <row r="241" ht="15.75" customHeight="1">
      <c r="L241" s="20"/>
      <c r="M241" s="20"/>
      <c r="O241" s="20"/>
      <c r="R241" s="22"/>
    </row>
    <row r="242" ht="15.75" customHeight="1">
      <c r="L242" s="20"/>
      <c r="M242" s="20"/>
      <c r="O242" s="20"/>
      <c r="R242" s="22"/>
    </row>
    <row r="243" ht="15.75" customHeight="1">
      <c r="L243" s="20"/>
      <c r="M243" s="20"/>
      <c r="O243" s="20"/>
      <c r="R243" s="22"/>
    </row>
    <row r="244" ht="15.75" customHeight="1">
      <c r="L244" s="20"/>
      <c r="M244" s="20"/>
      <c r="O244" s="20"/>
      <c r="R244" s="22"/>
    </row>
    <row r="245" ht="15.75" customHeight="1">
      <c r="L245" s="20"/>
      <c r="M245" s="20"/>
      <c r="O245" s="20"/>
      <c r="R245" s="22"/>
    </row>
    <row r="246" ht="15.75" customHeight="1">
      <c r="L246" s="20"/>
      <c r="M246" s="20"/>
      <c r="O246" s="20"/>
      <c r="R246" s="22"/>
    </row>
    <row r="247" ht="15.75" customHeight="1">
      <c r="L247" s="20"/>
      <c r="M247" s="20"/>
      <c r="O247" s="20"/>
      <c r="R247" s="22"/>
    </row>
    <row r="248" ht="15.75" customHeight="1">
      <c r="L248" s="20"/>
      <c r="M248" s="20"/>
      <c r="O248" s="20"/>
      <c r="R248" s="22"/>
    </row>
    <row r="249" ht="15.75" customHeight="1">
      <c r="L249" s="20"/>
      <c r="M249" s="20"/>
      <c r="O249" s="20"/>
      <c r="R249" s="22"/>
    </row>
    <row r="250" ht="15.75" customHeight="1">
      <c r="L250" s="20"/>
      <c r="M250" s="20"/>
      <c r="O250" s="20"/>
      <c r="R250" s="22"/>
    </row>
    <row r="251" ht="15.75" customHeight="1">
      <c r="L251" s="20"/>
      <c r="M251" s="20"/>
      <c r="O251" s="20"/>
      <c r="R251" s="22"/>
    </row>
    <row r="252" ht="15.75" customHeight="1">
      <c r="L252" s="20"/>
      <c r="M252" s="20"/>
      <c r="O252" s="20"/>
      <c r="R252" s="22"/>
    </row>
    <row r="253" ht="15.75" customHeight="1">
      <c r="L253" s="20"/>
      <c r="M253" s="20"/>
      <c r="O253" s="20"/>
      <c r="R253" s="22"/>
    </row>
    <row r="254" ht="15.75" customHeight="1">
      <c r="L254" s="20"/>
      <c r="M254" s="20"/>
      <c r="O254" s="20"/>
      <c r="R254" s="22"/>
    </row>
    <row r="255" ht="15.75" customHeight="1">
      <c r="L255" s="20"/>
      <c r="M255" s="20"/>
      <c r="O255" s="20"/>
      <c r="R255" s="22"/>
    </row>
    <row r="256" ht="15.75" customHeight="1">
      <c r="L256" s="20"/>
      <c r="M256" s="20"/>
      <c r="O256" s="20"/>
      <c r="R256" s="22"/>
    </row>
    <row r="257" ht="15.75" customHeight="1">
      <c r="L257" s="20"/>
      <c r="M257" s="20"/>
      <c r="O257" s="20"/>
      <c r="R257" s="22"/>
    </row>
    <row r="258" ht="15.75" customHeight="1">
      <c r="L258" s="20"/>
      <c r="M258" s="20"/>
      <c r="O258" s="20"/>
      <c r="R258" s="22"/>
    </row>
    <row r="259" ht="15.75" customHeight="1">
      <c r="L259" s="20"/>
      <c r="M259" s="20"/>
      <c r="O259" s="20"/>
      <c r="R259" s="22"/>
    </row>
    <row r="260" ht="15.75" customHeight="1">
      <c r="L260" s="20"/>
      <c r="M260" s="20"/>
      <c r="O260" s="20"/>
      <c r="R260" s="22"/>
    </row>
    <row r="261" ht="15.75" customHeight="1">
      <c r="L261" s="20"/>
      <c r="M261" s="20"/>
      <c r="O261" s="20"/>
      <c r="R261" s="22"/>
    </row>
    <row r="262" ht="15.75" customHeight="1">
      <c r="L262" s="20"/>
      <c r="M262" s="20"/>
      <c r="O262" s="20"/>
      <c r="R262" s="22"/>
    </row>
    <row r="263" ht="15.75" customHeight="1">
      <c r="L263" s="20"/>
      <c r="M263" s="20"/>
      <c r="O263" s="20"/>
      <c r="R263" s="22"/>
    </row>
    <row r="264" ht="15.75" customHeight="1">
      <c r="L264" s="20"/>
      <c r="M264" s="20"/>
      <c r="O264" s="20"/>
      <c r="R264" s="22"/>
    </row>
    <row r="265" ht="15.75" customHeight="1">
      <c r="L265" s="20"/>
      <c r="M265" s="20"/>
      <c r="O265" s="20"/>
      <c r="R265" s="22"/>
    </row>
    <row r="266" ht="15.75" customHeight="1">
      <c r="L266" s="20"/>
      <c r="M266" s="20"/>
      <c r="O266" s="20"/>
      <c r="R266" s="22"/>
    </row>
    <row r="267" ht="15.75" customHeight="1">
      <c r="L267" s="20"/>
      <c r="M267" s="20"/>
      <c r="O267" s="20"/>
      <c r="R267" s="22"/>
    </row>
    <row r="268" ht="15.75" customHeight="1">
      <c r="L268" s="20"/>
      <c r="M268" s="20"/>
      <c r="O268" s="20"/>
      <c r="R268" s="22"/>
    </row>
    <row r="269" ht="15.75" customHeight="1">
      <c r="L269" s="20"/>
      <c r="M269" s="20"/>
      <c r="O269" s="20"/>
      <c r="R269" s="22"/>
    </row>
    <row r="270" ht="15.75" customHeight="1">
      <c r="L270" s="20"/>
      <c r="M270" s="20"/>
      <c r="O270" s="20"/>
      <c r="R270" s="22"/>
    </row>
    <row r="271" ht="15.75" customHeight="1">
      <c r="L271" s="20"/>
      <c r="M271" s="20"/>
      <c r="O271" s="20"/>
      <c r="R271" s="22"/>
    </row>
    <row r="272" ht="15.75" customHeight="1">
      <c r="L272" s="20"/>
      <c r="M272" s="20"/>
      <c r="O272" s="20"/>
      <c r="R272" s="22"/>
    </row>
    <row r="273" ht="15.75" customHeight="1">
      <c r="L273" s="20"/>
      <c r="M273" s="20"/>
      <c r="O273" s="20"/>
      <c r="R273" s="22"/>
    </row>
    <row r="274" ht="15.75" customHeight="1">
      <c r="L274" s="20"/>
      <c r="M274" s="20"/>
      <c r="O274" s="20"/>
      <c r="R274" s="22"/>
    </row>
    <row r="275" ht="15.75" customHeight="1">
      <c r="L275" s="20"/>
      <c r="M275" s="20"/>
      <c r="O275" s="20"/>
      <c r="R275" s="22"/>
    </row>
    <row r="276" ht="15.75" customHeight="1">
      <c r="L276" s="20"/>
      <c r="M276" s="20"/>
      <c r="O276" s="20"/>
      <c r="R276" s="22"/>
    </row>
    <row r="277" ht="15.75" customHeight="1">
      <c r="L277" s="20"/>
      <c r="M277" s="20"/>
      <c r="O277" s="20"/>
      <c r="R277" s="22"/>
    </row>
    <row r="278" ht="15.75" customHeight="1">
      <c r="L278" s="20"/>
      <c r="M278" s="20"/>
      <c r="O278" s="20"/>
      <c r="R278" s="22"/>
    </row>
    <row r="279" ht="15.75" customHeight="1">
      <c r="L279" s="20"/>
      <c r="M279" s="20"/>
      <c r="O279" s="20"/>
      <c r="R279" s="22"/>
    </row>
    <row r="280" ht="15.75" customHeight="1">
      <c r="L280" s="20"/>
      <c r="M280" s="20"/>
      <c r="O280" s="20"/>
      <c r="R280" s="22"/>
    </row>
    <row r="281" ht="15.75" customHeight="1">
      <c r="L281" s="20"/>
      <c r="M281" s="20"/>
      <c r="O281" s="20"/>
      <c r="R281" s="22"/>
    </row>
    <row r="282" ht="15.75" customHeight="1">
      <c r="L282" s="20"/>
      <c r="M282" s="20"/>
      <c r="O282" s="20"/>
      <c r="R282" s="22"/>
    </row>
    <row r="283" ht="15.75" customHeight="1">
      <c r="L283" s="20"/>
      <c r="M283" s="20"/>
      <c r="O283" s="20"/>
      <c r="R283" s="22"/>
    </row>
    <row r="284" ht="15.75" customHeight="1">
      <c r="L284" s="20"/>
      <c r="M284" s="20"/>
      <c r="O284" s="20"/>
      <c r="R284" s="22"/>
    </row>
    <row r="285" ht="15.75" customHeight="1">
      <c r="L285" s="20"/>
      <c r="M285" s="20"/>
      <c r="O285" s="20"/>
      <c r="R285" s="22"/>
    </row>
    <row r="286" ht="15.75" customHeight="1">
      <c r="L286" s="20"/>
      <c r="M286" s="20"/>
      <c r="O286" s="20"/>
      <c r="R286" s="22"/>
    </row>
    <row r="287" ht="15.75" customHeight="1">
      <c r="L287" s="20"/>
      <c r="M287" s="20"/>
      <c r="O287" s="20"/>
      <c r="R287" s="22"/>
    </row>
    <row r="288" ht="15.75" customHeight="1">
      <c r="L288" s="20"/>
      <c r="M288" s="20"/>
      <c r="O288" s="20"/>
      <c r="R288" s="22"/>
    </row>
    <row r="289" ht="15.75" customHeight="1">
      <c r="L289" s="20"/>
      <c r="M289" s="20"/>
      <c r="O289" s="20"/>
      <c r="R289" s="22"/>
    </row>
    <row r="290" ht="15.75" customHeight="1">
      <c r="L290" s="20"/>
      <c r="M290" s="20"/>
      <c r="O290" s="20"/>
      <c r="R290" s="22"/>
    </row>
    <row r="291" ht="15.75" customHeight="1">
      <c r="L291" s="20"/>
      <c r="M291" s="20"/>
      <c r="O291" s="20"/>
      <c r="R291" s="22"/>
    </row>
    <row r="292" ht="15.75" customHeight="1">
      <c r="L292" s="20"/>
      <c r="M292" s="20"/>
      <c r="O292" s="20"/>
      <c r="R292" s="22"/>
    </row>
    <row r="293" ht="15.75" customHeight="1">
      <c r="L293" s="20"/>
      <c r="M293" s="20"/>
      <c r="O293" s="20"/>
      <c r="R293" s="22"/>
    </row>
    <row r="294" ht="15.75" customHeight="1">
      <c r="L294" s="20"/>
      <c r="M294" s="20"/>
      <c r="O294" s="20"/>
      <c r="R294" s="22"/>
    </row>
    <row r="295" ht="15.75" customHeight="1">
      <c r="L295" s="20"/>
      <c r="M295" s="20"/>
      <c r="O295" s="20"/>
      <c r="R295" s="22"/>
    </row>
    <row r="296" ht="15.75" customHeight="1">
      <c r="L296" s="20"/>
      <c r="M296" s="20"/>
      <c r="O296" s="20"/>
      <c r="R296" s="22"/>
    </row>
    <row r="297" ht="15.75" customHeight="1">
      <c r="L297" s="20"/>
      <c r="M297" s="20"/>
      <c r="O297" s="20"/>
      <c r="R297" s="22"/>
    </row>
    <row r="298" ht="15.75" customHeight="1">
      <c r="L298" s="20"/>
      <c r="M298" s="20"/>
      <c r="O298" s="20"/>
      <c r="R298" s="22"/>
    </row>
    <row r="299" ht="15.75" customHeight="1">
      <c r="L299" s="20"/>
      <c r="M299" s="20"/>
      <c r="O299" s="20"/>
      <c r="R299" s="22"/>
    </row>
    <row r="300" ht="15.75" customHeight="1">
      <c r="L300" s="20"/>
      <c r="M300" s="20"/>
      <c r="O300" s="20"/>
      <c r="R300" s="22"/>
    </row>
    <row r="301" ht="15.75" customHeight="1">
      <c r="L301" s="20"/>
      <c r="M301" s="20"/>
      <c r="O301" s="20"/>
      <c r="R301" s="22"/>
    </row>
    <row r="302" ht="15.75" customHeight="1">
      <c r="L302" s="20"/>
      <c r="M302" s="20"/>
      <c r="O302" s="20"/>
      <c r="R302" s="22"/>
    </row>
    <row r="303" ht="15.75" customHeight="1">
      <c r="L303" s="20"/>
      <c r="M303" s="20"/>
      <c r="O303" s="20"/>
      <c r="R303" s="22"/>
    </row>
    <row r="304" ht="15.75" customHeight="1">
      <c r="L304" s="20"/>
      <c r="M304" s="20"/>
      <c r="O304" s="20"/>
      <c r="R304" s="22"/>
    </row>
    <row r="305" ht="15.75" customHeight="1">
      <c r="L305" s="20"/>
      <c r="M305" s="20"/>
      <c r="O305" s="20"/>
      <c r="R305" s="22"/>
    </row>
    <row r="306" ht="15.75" customHeight="1">
      <c r="L306" s="20"/>
      <c r="M306" s="20"/>
      <c r="O306" s="20"/>
      <c r="R306" s="22"/>
    </row>
    <row r="307" ht="15.75" customHeight="1">
      <c r="L307" s="20"/>
      <c r="M307" s="20"/>
      <c r="O307" s="20"/>
      <c r="R307" s="22"/>
    </row>
    <row r="308" ht="15.75" customHeight="1">
      <c r="L308" s="20"/>
      <c r="M308" s="20"/>
      <c r="O308" s="20"/>
      <c r="R308" s="22"/>
    </row>
    <row r="309" ht="15.75" customHeight="1">
      <c r="L309" s="20"/>
      <c r="M309" s="20"/>
      <c r="O309" s="20"/>
      <c r="R309" s="22"/>
    </row>
    <row r="310" ht="15.75" customHeight="1">
      <c r="L310" s="20"/>
      <c r="M310" s="20"/>
      <c r="O310" s="20"/>
      <c r="R310" s="22"/>
    </row>
    <row r="311" ht="15.75" customHeight="1">
      <c r="L311" s="20"/>
      <c r="M311" s="20"/>
      <c r="O311" s="20"/>
      <c r="R311" s="22"/>
    </row>
    <row r="312" ht="15.75" customHeight="1">
      <c r="L312" s="20"/>
      <c r="M312" s="20"/>
      <c r="O312" s="20"/>
      <c r="R312" s="22"/>
    </row>
    <row r="313" ht="15.75" customHeight="1">
      <c r="L313" s="20"/>
      <c r="M313" s="20"/>
      <c r="O313" s="20"/>
      <c r="R313" s="22"/>
    </row>
    <row r="314" ht="15.75" customHeight="1">
      <c r="L314" s="20"/>
      <c r="M314" s="20"/>
      <c r="O314" s="20"/>
      <c r="R314" s="22"/>
    </row>
    <row r="315" ht="15.75" customHeight="1">
      <c r="L315" s="20"/>
      <c r="M315" s="20"/>
      <c r="O315" s="20"/>
      <c r="R315" s="22"/>
    </row>
    <row r="316" ht="15.75" customHeight="1">
      <c r="L316" s="20"/>
      <c r="M316" s="20"/>
      <c r="O316" s="20"/>
      <c r="R316" s="22"/>
    </row>
    <row r="317" ht="15.75" customHeight="1">
      <c r="L317" s="20"/>
      <c r="M317" s="20"/>
      <c r="O317" s="20"/>
      <c r="R317" s="22"/>
    </row>
    <row r="318" ht="15.75" customHeight="1">
      <c r="L318" s="20"/>
      <c r="M318" s="20"/>
      <c r="O318" s="20"/>
      <c r="R318" s="22"/>
    </row>
    <row r="319" ht="15.75" customHeight="1">
      <c r="L319" s="20"/>
      <c r="M319" s="20"/>
      <c r="O319" s="20"/>
      <c r="R319" s="22"/>
    </row>
    <row r="320" ht="15.75" customHeight="1">
      <c r="L320" s="20"/>
      <c r="M320" s="20"/>
      <c r="O320" s="20"/>
      <c r="R320" s="22"/>
    </row>
    <row r="321" ht="15.75" customHeight="1">
      <c r="L321" s="20"/>
      <c r="M321" s="20"/>
      <c r="O321" s="20"/>
      <c r="R321" s="22"/>
    </row>
    <row r="322" ht="15.75" customHeight="1">
      <c r="L322" s="20"/>
      <c r="M322" s="20"/>
      <c r="O322" s="20"/>
      <c r="R322" s="22"/>
    </row>
    <row r="323" ht="15.75" customHeight="1">
      <c r="L323" s="20"/>
      <c r="M323" s="20"/>
      <c r="O323" s="20"/>
      <c r="R323" s="22"/>
    </row>
    <row r="324" ht="15.75" customHeight="1">
      <c r="L324" s="20"/>
      <c r="M324" s="20"/>
      <c r="O324" s="20"/>
      <c r="R324" s="22"/>
    </row>
    <row r="325" ht="15.75" customHeight="1">
      <c r="L325" s="20"/>
      <c r="M325" s="20"/>
      <c r="O325" s="20"/>
      <c r="R325" s="22"/>
    </row>
    <row r="326" ht="15.75" customHeight="1">
      <c r="L326" s="20"/>
      <c r="M326" s="20"/>
      <c r="O326" s="20"/>
      <c r="R326" s="22"/>
    </row>
    <row r="327" ht="15.75" customHeight="1">
      <c r="L327" s="20"/>
      <c r="M327" s="20"/>
      <c r="O327" s="20"/>
      <c r="R327" s="22"/>
    </row>
    <row r="328" ht="15.75" customHeight="1">
      <c r="L328" s="20"/>
      <c r="M328" s="20"/>
      <c r="O328" s="20"/>
      <c r="R328" s="22"/>
    </row>
    <row r="329" ht="15.75" customHeight="1">
      <c r="L329" s="20"/>
      <c r="M329" s="20"/>
      <c r="O329" s="20"/>
      <c r="R329" s="22"/>
    </row>
    <row r="330" ht="15.75" customHeight="1">
      <c r="L330" s="20"/>
      <c r="M330" s="20"/>
      <c r="O330" s="20"/>
      <c r="R330" s="22"/>
    </row>
    <row r="331" ht="15.75" customHeight="1">
      <c r="L331" s="20"/>
      <c r="M331" s="20"/>
      <c r="O331" s="20"/>
      <c r="R331" s="22"/>
    </row>
    <row r="332" ht="15.75" customHeight="1">
      <c r="L332" s="20"/>
      <c r="M332" s="20"/>
      <c r="O332" s="20"/>
      <c r="R332" s="22"/>
    </row>
    <row r="333" ht="15.75" customHeight="1">
      <c r="L333" s="20"/>
      <c r="M333" s="20"/>
      <c r="O333" s="20"/>
      <c r="R333" s="22"/>
    </row>
    <row r="334" ht="15.75" customHeight="1">
      <c r="L334" s="20"/>
      <c r="M334" s="20"/>
      <c r="O334" s="20"/>
      <c r="R334" s="22"/>
    </row>
    <row r="335" ht="15.75" customHeight="1">
      <c r="L335" s="20"/>
      <c r="M335" s="20"/>
      <c r="O335" s="20"/>
      <c r="R335" s="22"/>
    </row>
    <row r="336" ht="15.75" customHeight="1">
      <c r="L336" s="20"/>
      <c r="M336" s="20"/>
      <c r="O336" s="20"/>
      <c r="R336" s="22"/>
    </row>
    <row r="337" ht="15.75" customHeight="1">
      <c r="L337" s="20"/>
      <c r="M337" s="20"/>
      <c r="O337" s="20"/>
      <c r="R337" s="22"/>
    </row>
    <row r="338" ht="15.75" customHeight="1">
      <c r="L338" s="20"/>
      <c r="M338" s="20"/>
      <c r="O338" s="20"/>
      <c r="R338" s="22"/>
    </row>
    <row r="339" ht="15.75" customHeight="1">
      <c r="L339" s="20"/>
      <c r="M339" s="20"/>
      <c r="O339" s="20"/>
      <c r="R339" s="22"/>
    </row>
    <row r="340" ht="15.75" customHeight="1">
      <c r="L340" s="20"/>
      <c r="M340" s="20"/>
      <c r="O340" s="20"/>
      <c r="R340" s="22"/>
    </row>
    <row r="341" ht="15.75" customHeight="1">
      <c r="L341" s="20"/>
      <c r="M341" s="20"/>
      <c r="O341" s="20"/>
      <c r="R341" s="22"/>
    </row>
    <row r="342" ht="15.75" customHeight="1">
      <c r="L342" s="20"/>
      <c r="M342" s="20"/>
      <c r="O342" s="20"/>
      <c r="R342" s="22"/>
    </row>
    <row r="343" ht="15.75" customHeight="1">
      <c r="L343" s="20"/>
      <c r="M343" s="20"/>
      <c r="O343" s="20"/>
      <c r="R343" s="22"/>
    </row>
    <row r="344" ht="15.75" customHeight="1">
      <c r="L344" s="20"/>
      <c r="M344" s="20"/>
      <c r="O344" s="20"/>
      <c r="R344" s="22"/>
    </row>
    <row r="345" ht="15.75" customHeight="1">
      <c r="L345" s="20"/>
      <c r="M345" s="20"/>
      <c r="O345" s="20"/>
      <c r="R345" s="22"/>
    </row>
    <row r="346" ht="15.75" customHeight="1">
      <c r="L346" s="20"/>
      <c r="M346" s="20"/>
      <c r="O346" s="20"/>
      <c r="R346" s="22"/>
    </row>
    <row r="347" ht="15.75" customHeight="1">
      <c r="L347" s="20"/>
      <c r="M347" s="20"/>
      <c r="O347" s="20"/>
      <c r="R347" s="22"/>
    </row>
    <row r="348" ht="15.75" customHeight="1">
      <c r="L348" s="20"/>
      <c r="M348" s="20"/>
      <c r="O348" s="20"/>
      <c r="R348" s="22"/>
    </row>
    <row r="349" ht="15.75" customHeight="1">
      <c r="L349" s="20"/>
      <c r="M349" s="20"/>
      <c r="O349" s="20"/>
      <c r="R349" s="22"/>
    </row>
    <row r="350" ht="15.75" customHeight="1">
      <c r="L350" s="20"/>
      <c r="M350" s="20"/>
      <c r="O350" s="20"/>
      <c r="R350" s="22"/>
    </row>
    <row r="351" ht="15.75" customHeight="1">
      <c r="L351" s="20"/>
      <c r="M351" s="20"/>
      <c r="O351" s="20"/>
      <c r="R351" s="22"/>
    </row>
    <row r="352" ht="15.75" customHeight="1">
      <c r="L352" s="20"/>
      <c r="M352" s="20"/>
      <c r="O352" s="20"/>
      <c r="R352" s="22"/>
    </row>
    <row r="353" ht="15.75" customHeight="1">
      <c r="L353" s="20"/>
      <c r="M353" s="20"/>
      <c r="O353" s="20"/>
      <c r="R353" s="22"/>
    </row>
    <row r="354" ht="15.75" customHeight="1">
      <c r="L354" s="20"/>
      <c r="M354" s="20"/>
      <c r="O354" s="20"/>
      <c r="R354" s="22"/>
    </row>
    <row r="355" ht="15.75" customHeight="1">
      <c r="L355" s="20"/>
      <c r="M355" s="20"/>
      <c r="O355" s="20"/>
      <c r="R355" s="22"/>
    </row>
    <row r="356" ht="15.75" customHeight="1">
      <c r="L356" s="20"/>
      <c r="M356" s="20"/>
      <c r="O356" s="20"/>
      <c r="R356" s="22"/>
    </row>
    <row r="357" ht="15.75" customHeight="1">
      <c r="L357" s="20"/>
      <c r="M357" s="20"/>
      <c r="O357" s="20"/>
      <c r="R357" s="22"/>
    </row>
    <row r="358" ht="15.75" customHeight="1">
      <c r="L358" s="20"/>
      <c r="M358" s="20"/>
      <c r="O358" s="20"/>
      <c r="R358" s="22"/>
    </row>
    <row r="359" ht="15.75" customHeight="1">
      <c r="L359" s="20"/>
      <c r="M359" s="20"/>
      <c r="O359" s="20"/>
      <c r="R359" s="22"/>
    </row>
    <row r="360" ht="15.75" customHeight="1">
      <c r="L360" s="20"/>
      <c r="M360" s="20"/>
      <c r="O360" s="20"/>
      <c r="R360" s="22"/>
    </row>
    <row r="361" ht="15.75" customHeight="1">
      <c r="L361" s="20"/>
      <c r="M361" s="20"/>
      <c r="O361" s="20"/>
      <c r="R361" s="22"/>
    </row>
    <row r="362" ht="15.75" customHeight="1">
      <c r="L362" s="20"/>
      <c r="M362" s="20"/>
      <c r="O362" s="20"/>
      <c r="R362" s="22"/>
    </row>
    <row r="363" ht="15.75" customHeight="1">
      <c r="L363" s="20"/>
      <c r="M363" s="20"/>
      <c r="O363" s="20"/>
      <c r="R363" s="22"/>
    </row>
    <row r="364" ht="15.75" customHeight="1">
      <c r="L364" s="20"/>
      <c r="M364" s="20"/>
      <c r="O364" s="20"/>
      <c r="R364" s="22"/>
    </row>
    <row r="365" ht="15.75" customHeight="1">
      <c r="L365" s="20"/>
      <c r="M365" s="20"/>
      <c r="O365" s="20"/>
      <c r="R365" s="22"/>
    </row>
    <row r="366" ht="15.75" customHeight="1">
      <c r="L366" s="20"/>
      <c r="M366" s="20"/>
      <c r="O366" s="20"/>
      <c r="R366" s="22"/>
    </row>
    <row r="367" ht="15.75" customHeight="1">
      <c r="L367" s="20"/>
      <c r="M367" s="20"/>
      <c r="O367" s="20"/>
      <c r="R367" s="22"/>
    </row>
    <row r="368" ht="15.75" customHeight="1">
      <c r="L368" s="20"/>
      <c r="M368" s="20"/>
      <c r="O368" s="20"/>
      <c r="R368" s="22"/>
    </row>
    <row r="369" ht="15.75" customHeight="1">
      <c r="L369" s="20"/>
      <c r="M369" s="20"/>
      <c r="O369" s="20"/>
      <c r="R369" s="22"/>
    </row>
    <row r="370" ht="15.75" customHeight="1">
      <c r="L370" s="20"/>
      <c r="M370" s="20"/>
      <c r="O370" s="20"/>
      <c r="R370" s="22"/>
    </row>
    <row r="371" ht="15.75" customHeight="1">
      <c r="L371" s="20"/>
      <c r="M371" s="20"/>
      <c r="O371" s="20"/>
      <c r="R371" s="22"/>
    </row>
    <row r="372" ht="15.75" customHeight="1">
      <c r="L372" s="20"/>
      <c r="M372" s="20"/>
      <c r="O372" s="20"/>
      <c r="R372" s="22"/>
    </row>
    <row r="373" ht="15.75" customHeight="1">
      <c r="L373" s="20"/>
      <c r="M373" s="20"/>
      <c r="O373" s="20"/>
      <c r="R373" s="22"/>
    </row>
    <row r="374" ht="15.75" customHeight="1">
      <c r="L374" s="20"/>
      <c r="M374" s="20"/>
      <c r="O374" s="20"/>
      <c r="R374" s="22"/>
    </row>
    <row r="375" ht="15.75" customHeight="1">
      <c r="L375" s="20"/>
      <c r="M375" s="20"/>
      <c r="O375" s="20"/>
      <c r="R375" s="22"/>
    </row>
    <row r="376" ht="15.75" customHeight="1">
      <c r="L376" s="20"/>
      <c r="M376" s="20"/>
      <c r="O376" s="20"/>
      <c r="R376" s="22"/>
    </row>
    <row r="377" ht="15.75" customHeight="1">
      <c r="L377" s="20"/>
      <c r="M377" s="20"/>
      <c r="O377" s="20"/>
      <c r="R377" s="22"/>
    </row>
    <row r="378" ht="15.75" customHeight="1">
      <c r="L378" s="20"/>
      <c r="M378" s="20"/>
      <c r="O378" s="20"/>
      <c r="R378" s="22"/>
    </row>
    <row r="379" ht="15.75" customHeight="1">
      <c r="L379" s="20"/>
      <c r="M379" s="20"/>
      <c r="O379" s="20"/>
      <c r="R379" s="22"/>
    </row>
    <row r="380" ht="15.75" customHeight="1">
      <c r="L380" s="20"/>
      <c r="M380" s="20"/>
      <c r="O380" s="20"/>
      <c r="R380" s="22"/>
    </row>
    <row r="381" ht="15.75" customHeight="1">
      <c r="L381" s="20"/>
      <c r="M381" s="20"/>
      <c r="O381" s="20"/>
      <c r="R381" s="22"/>
    </row>
    <row r="382" ht="15.75" customHeight="1">
      <c r="L382" s="20"/>
      <c r="M382" s="20"/>
      <c r="O382" s="20"/>
      <c r="R382" s="22"/>
    </row>
    <row r="383" ht="15.75" customHeight="1">
      <c r="L383" s="20"/>
      <c r="M383" s="20"/>
      <c r="O383" s="20"/>
      <c r="R383" s="22"/>
    </row>
    <row r="384" ht="15.75" customHeight="1">
      <c r="L384" s="20"/>
      <c r="M384" s="20"/>
      <c r="O384" s="20"/>
      <c r="R384" s="22"/>
    </row>
    <row r="385" ht="15.75" customHeight="1">
      <c r="L385" s="20"/>
      <c r="M385" s="20"/>
      <c r="O385" s="20"/>
      <c r="R385" s="22"/>
    </row>
    <row r="386" ht="15.75" customHeight="1">
      <c r="L386" s="20"/>
      <c r="M386" s="20"/>
      <c r="O386" s="20"/>
      <c r="R386" s="22"/>
    </row>
    <row r="387" ht="15.75" customHeight="1">
      <c r="L387" s="20"/>
      <c r="M387" s="20"/>
      <c r="O387" s="20"/>
      <c r="R387" s="22"/>
    </row>
    <row r="388" ht="15.75" customHeight="1">
      <c r="L388" s="20"/>
      <c r="M388" s="20"/>
      <c r="O388" s="20"/>
      <c r="R388" s="22"/>
    </row>
    <row r="389" ht="15.75" customHeight="1">
      <c r="L389" s="20"/>
      <c r="M389" s="20"/>
      <c r="O389" s="20"/>
      <c r="R389" s="22"/>
    </row>
    <row r="390" ht="15.75" customHeight="1">
      <c r="L390" s="20"/>
      <c r="M390" s="20"/>
      <c r="O390" s="20"/>
      <c r="R390" s="22"/>
    </row>
    <row r="391" ht="15.75" customHeight="1">
      <c r="L391" s="20"/>
      <c r="M391" s="20"/>
      <c r="O391" s="20"/>
      <c r="R391" s="22"/>
    </row>
    <row r="392" ht="15.75" customHeight="1">
      <c r="L392" s="20"/>
      <c r="M392" s="20"/>
      <c r="O392" s="20"/>
      <c r="R392" s="22"/>
    </row>
    <row r="393" ht="15.75" customHeight="1">
      <c r="L393" s="20"/>
      <c r="M393" s="20"/>
      <c r="O393" s="20"/>
      <c r="R393" s="22"/>
    </row>
    <row r="394" ht="15.75" customHeight="1">
      <c r="L394" s="20"/>
      <c r="M394" s="20"/>
      <c r="O394" s="20"/>
      <c r="R394" s="22"/>
    </row>
    <row r="395" ht="15.75" customHeight="1">
      <c r="L395" s="20"/>
      <c r="M395" s="20"/>
      <c r="O395" s="20"/>
      <c r="R395" s="22"/>
    </row>
    <row r="396" ht="15.75" customHeight="1">
      <c r="L396" s="20"/>
      <c r="M396" s="20"/>
      <c r="O396" s="20"/>
      <c r="R396" s="22"/>
    </row>
    <row r="397" ht="15.75" customHeight="1">
      <c r="L397" s="20"/>
      <c r="M397" s="20"/>
      <c r="O397" s="20"/>
      <c r="R397" s="22"/>
    </row>
    <row r="398" ht="15.75" customHeight="1">
      <c r="L398" s="20"/>
      <c r="M398" s="20"/>
      <c r="O398" s="20"/>
      <c r="R398" s="22"/>
    </row>
    <row r="399" ht="15.75" customHeight="1">
      <c r="L399" s="20"/>
      <c r="M399" s="20"/>
      <c r="O399" s="20"/>
      <c r="R399" s="22"/>
    </row>
    <row r="400" ht="15.75" customHeight="1">
      <c r="L400" s="20"/>
      <c r="M400" s="20"/>
      <c r="O400" s="20"/>
      <c r="R400" s="22"/>
    </row>
    <row r="401" ht="15.75" customHeight="1">
      <c r="L401" s="20"/>
      <c r="M401" s="20"/>
      <c r="O401" s="20"/>
      <c r="R401" s="22"/>
    </row>
    <row r="402" ht="15.75" customHeight="1">
      <c r="L402" s="20"/>
      <c r="M402" s="20"/>
      <c r="O402" s="20"/>
      <c r="R402" s="22"/>
    </row>
    <row r="403" ht="15.75" customHeight="1">
      <c r="L403" s="20"/>
      <c r="M403" s="20"/>
      <c r="O403" s="20"/>
      <c r="R403" s="22"/>
    </row>
    <row r="404" ht="15.75" customHeight="1">
      <c r="L404" s="20"/>
      <c r="M404" s="20"/>
      <c r="O404" s="20"/>
      <c r="R404" s="22"/>
    </row>
    <row r="405" ht="15.75" customHeight="1">
      <c r="L405" s="20"/>
      <c r="M405" s="20"/>
      <c r="O405" s="20"/>
      <c r="R405" s="22"/>
    </row>
    <row r="406" ht="15.75" customHeight="1">
      <c r="L406" s="20"/>
      <c r="M406" s="20"/>
      <c r="O406" s="20"/>
      <c r="R406" s="22"/>
    </row>
    <row r="407" ht="15.75" customHeight="1">
      <c r="L407" s="20"/>
      <c r="M407" s="20"/>
      <c r="O407" s="20"/>
      <c r="R407" s="22"/>
    </row>
    <row r="408" ht="15.75" customHeight="1">
      <c r="L408" s="20"/>
      <c r="M408" s="20"/>
      <c r="O408" s="20"/>
      <c r="R408" s="22"/>
    </row>
    <row r="409" ht="15.75" customHeight="1">
      <c r="L409" s="20"/>
      <c r="M409" s="20"/>
      <c r="O409" s="20"/>
      <c r="R409" s="22"/>
    </row>
    <row r="410" ht="15.75" customHeight="1">
      <c r="L410" s="20"/>
      <c r="M410" s="20"/>
      <c r="O410" s="20"/>
      <c r="R410" s="22"/>
    </row>
    <row r="411" ht="15.75" customHeight="1">
      <c r="L411" s="20"/>
      <c r="M411" s="20"/>
      <c r="O411" s="20"/>
      <c r="R411" s="22"/>
    </row>
    <row r="412" ht="15.75" customHeight="1">
      <c r="L412" s="20"/>
      <c r="M412" s="20"/>
      <c r="O412" s="20"/>
      <c r="R412" s="22"/>
    </row>
    <row r="413" ht="15.75" customHeight="1">
      <c r="L413" s="20"/>
      <c r="M413" s="20"/>
      <c r="O413" s="20"/>
      <c r="R413" s="22"/>
    </row>
    <row r="414" ht="15.75" customHeight="1">
      <c r="L414" s="20"/>
      <c r="M414" s="20"/>
      <c r="O414" s="20"/>
      <c r="R414" s="22"/>
    </row>
    <row r="415" ht="15.75" customHeight="1">
      <c r="L415" s="20"/>
      <c r="M415" s="20"/>
      <c r="O415" s="20"/>
      <c r="R415" s="22"/>
    </row>
    <row r="416" ht="15.75" customHeight="1">
      <c r="L416" s="20"/>
      <c r="M416" s="20"/>
      <c r="O416" s="20"/>
      <c r="R416" s="22"/>
    </row>
    <row r="417" ht="15.75" customHeight="1">
      <c r="L417" s="20"/>
      <c r="M417" s="20"/>
      <c r="O417" s="20"/>
      <c r="R417" s="22"/>
    </row>
    <row r="418" ht="15.75" customHeight="1">
      <c r="L418" s="20"/>
      <c r="M418" s="20"/>
      <c r="O418" s="20"/>
      <c r="R418" s="22"/>
    </row>
    <row r="419" ht="15.75" customHeight="1">
      <c r="L419" s="20"/>
      <c r="M419" s="20"/>
      <c r="O419" s="20"/>
      <c r="R419" s="22"/>
    </row>
    <row r="420" ht="15.75" customHeight="1">
      <c r="L420" s="20"/>
      <c r="M420" s="20"/>
      <c r="O420" s="20"/>
      <c r="R420" s="22"/>
    </row>
    <row r="421" ht="15.75" customHeight="1">
      <c r="L421" s="20"/>
      <c r="M421" s="20"/>
      <c r="O421" s="20"/>
      <c r="R421" s="22"/>
    </row>
    <row r="422" ht="15.75" customHeight="1">
      <c r="L422" s="20"/>
      <c r="M422" s="20"/>
      <c r="O422" s="20"/>
      <c r="R422" s="22"/>
    </row>
    <row r="423" ht="15.75" customHeight="1">
      <c r="L423" s="20"/>
      <c r="M423" s="20"/>
      <c r="O423" s="20"/>
      <c r="R423" s="22"/>
    </row>
    <row r="424" ht="15.75" customHeight="1">
      <c r="L424" s="20"/>
      <c r="M424" s="20"/>
      <c r="O424" s="20"/>
      <c r="R424" s="22"/>
    </row>
    <row r="425" ht="15.75" customHeight="1">
      <c r="L425" s="20"/>
      <c r="M425" s="20"/>
      <c r="O425" s="20"/>
      <c r="R425" s="22"/>
    </row>
    <row r="426" ht="15.75" customHeight="1">
      <c r="L426" s="20"/>
      <c r="M426" s="20"/>
      <c r="O426" s="20"/>
      <c r="R426" s="22"/>
    </row>
    <row r="427" ht="15.75" customHeight="1">
      <c r="L427" s="20"/>
      <c r="M427" s="20"/>
      <c r="O427" s="20"/>
      <c r="R427" s="22"/>
    </row>
    <row r="428" ht="15.75" customHeight="1">
      <c r="L428" s="20"/>
      <c r="M428" s="20"/>
      <c r="O428" s="20"/>
      <c r="R428" s="22"/>
    </row>
    <row r="429" ht="15.75" customHeight="1">
      <c r="L429" s="20"/>
      <c r="M429" s="20"/>
      <c r="O429" s="20"/>
      <c r="R429" s="22"/>
    </row>
    <row r="430" ht="15.75" customHeight="1">
      <c r="L430" s="20"/>
      <c r="M430" s="20"/>
      <c r="O430" s="20"/>
      <c r="R430" s="22"/>
    </row>
    <row r="431" ht="15.75" customHeight="1">
      <c r="L431" s="20"/>
      <c r="M431" s="20"/>
      <c r="O431" s="20"/>
      <c r="R431" s="22"/>
    </row>
    <row r="432" ht="15.75" customHeight="1">
      <c r="L432" s="20"/>
      <c r="M432" s="20"/>
      <c r="O432" s="20"/>
      <c r="R432" s="22"/>
    </row>
    <row r="433" ht="15.75" customHeight="1">
      <c r="L433" s="20"/>
      <c r="M433" s="20"/>
      <c r="O433" s="20"/>
      <c r="R433" s="22"/>
    </row>
    <row r="434" ht="15.75" customHeight="1">
      <c r="L434" s="20"/>
      <c r="M434" s="20"/>
      <c r="O434" s="20"/>
      <c r="R434" s="22"/>
    </row>
    <row r="435" ht="15.75" customHeight="1">
      <c r="L435" s="20"/>
      <c r="M435" s="20"/>
      <c r="O435" s="20"/>
      <c r="R435" s="22"/>
    </row>
    <row r="436" ht="15.75" customHeight="1">
      <c r="L436" s="20"/>
      <c r="M436" s="20"/>
      <c r="O436" s="20"/>
      <c r="R436" s="22"/>
    </row>
    <row r="437" ht="15.75" customHeight="1">
      <c r="L437" s="20"/>
      <c r="M437" s="20"/>
      <c r="O437" s="20"/>
      <c r="R437" s="22"/>
    </row>
    <row r="438" ht="15.75" customHeight="1">
      <c r="L438" s="20"/>
      <c r="M438" s="20"/>
      <c r="O438" s="20"/>
      <c r="R438" s="22"/>
    </row>
    <row r="439" ht="15.75" customHeight="1">
      <c r="L439" s="20"/>
      <c r="M439" s="20"/>
      <c r="O439" s="20"/>
      <c r="R439" s="22"/>
    </row>
    <row r="440" ht="15.75" customHeight="1">
      <c r="L440" s="20"/>
      <c r="M440" s="20"/>
      <c r="O440" s="20"/>
      <c r="R440" s="22"/>
    </row>
    <row r="441" ht="15.75" customHeight="1">
      <c r="L441" s="20"/>
      <c r="M441" s="20"/>
      <c r="O441" s="20"/>
      <c r="R441" s="22"/>
    </row>
    <row r="442" ht="15.75" customHeight="1">
      <c r="L442" s="20"/>
      <c r="M442" s="20"/>
      <c r="O442" s="20"/>
      <c r="R442" s="22"/>
    </row>
    <row r="443" ht="15.75" customHeight="1">
      <c r="L443" s="20"/>
      <c r="M443" s="20"/>
      <c r="O443" s="20"/>
      <c r="R443" s="22"/>
    </row>
    <row r="444" ht="15.75" customHeight="1">
      <c r="L444" s="20"/>
      <c r="M444" s="20"/>
      <c r="O444" s="20"/>
      <c r="R444" s="22"/>
    </row>
    <row r="445" ht="15.75" customHeight="1">
      <c r="L445" s="20"/>
      <c r="M445" s="20"/>
      <c r="O445" s="20"/>
      <c r="R445" s="22"/>
    </row>
    <row r="446" ht="15.75" customHeight="1">
      <c r="L446" s="20"/>
      <c r="M446" s="20"/>
      <c r="O446" s="20"/>
      <c r="R446" s="22"/>
    </row>
    <row r="447" ht="15.75" customHeight="1">
      <c r="L447" s="20"/>
      <c r="M447" s="20"/>
      <c r="O447" s="20"/>
      <c r="R447" s="22"/>
    </row>
    <row r="448" ht="15.75" customHeight="1">
      <c r="L448" s="20"/>
      <c r="M448" s="20"/>
      <c r="O448" s="20"/>
      <c r="R448" s="22"/>
    </row>
    <row r="449" ht="15.75" customHeight="1">
      <c r="L449" s="20"/>
      <c r="M449" s="20"/>
      <c r="O449" s="20"/>
      <c r="R449" s="22"/>
    </row>
    <row r="450" ht="15.75" customHeight="1">
      <c r="L450" s="20"/>
      <c r="M450" s="20"/>
      <c r="O450" s="20"/>
      <c r="R450" s="22"/>
    </row>
    <row r="451" ht="15.75" customHeight="1">
      <c r="L451" s="20"/>
      <c r="M451" s="20"/>
      <c r="O451" s="20"/>
      <c r="R451" s="22"/>
    </row>
    <row r="452" ht="15.75" customHeight="1">
      <c r="L452" s="20"/>
      <c r="M452" s="20"/>
      <c r="O452" s="20"/>
      <c r="R452" s="22"/>
    </row>
    <row r="453" ht="15.75" customHeight="1">
      <c r="L453" s="20"/>
      <c r="M453" s="20"/>
      <c r="O453" s="20"/>
      <c r="R453" s="22"/>
    </row>
    <row r="454" ht="15.75" customHeight="1">
      <c r="L454" s="20"/>
      <c r="M454" s="20"/>
      <c r="O454" s="20"/>
      <c r="R454" s="22"/>
    </row>
    <row r="455" ht="15.75" customHeight="1">
      <c r="L455" s="20"/>
      <c r="M455" s="20"/>
      <c r="O455" s="20"/>
      <c r="R455" s="22"/>
    </row>
    <row r="456" ht="15.75" customHeight="1">
      <c r="L456" s="20"/>
      <c r="M456" s="20"/>
      <c r="O456" s="20"/>
      <c r="R456" s="22"/>
    </row>
    <row r="457" ht="15.75" customHeight="1">
      <c r="L457" s="20"/>
      <c r="M457" s="20"/>
      <c r="O457" s="20"/>
      <c r="R457" s="22"/>
    </row>
    <row r="458" ht="15.75" customHeight="1">
      <c r="L458" s="20"/>
      <c r="M458" s="20"/>
      <c r="O458" s="20"/>
      <c r="R458" s="22"/>
    </row>
    <row r="459" ht="15.75" customHeight="1">
      <c r="L459" s="20"/>
      <c r="M459" s="20"/>
      <c r="O459" s="20"/>
      <c r="R459" s="22"/>
    </row>
    <row r="460" ht="15.75" customHeight="1">
      <c r="L460" s="20"/>
      <c r="M460" s="20"/>
      <c r="O460" s="20"/>
      <c r="R460" s="22"/>
    </row>
    <row r="461" ht="15.75" customHeight="1">
      <c r="L461" s="20"/>
      <c r="M461" s="20"/>
      <c r="O461" s="20"/>
      <c r="R461" s="22"/>
    </row>
    <row r="462" ht="15.75" customHeight="1">
      <c r="L462" s="20"/>
      <c r="M462" s="20"/>
      <c r="O462" s="20"/>
      <c r="R462" s="22"/>
    </row>
    <row r="463" ht="15.75" customHeight="1">
      <c r="L463" s="20"/>
      <c r="M463" s="20"/>
      <c r="O463" s="20"/>
      <c r="R463" s="22"/>
    </row>
    <row r="464" ht="15.75" customHeight="1">
      <c r="L464" s="20"/>
      <c r="M464" s="20"/>
      <c r="O464" s="20"/>
      <c r="R464" s="22"/>
    </row>
    <row r="465" ht="15.75" customHeight="1">
      <c r="L465" s="20"/>
      <c r="M465" s="20"/>
      <c r="O465" s="20"/>
      <c r="R465" s="22"/>
    </row>
    <row r="466" ht="15.75" customHeight="1">
      <c r="L466" s="20"/>
      <c r="M466" s="20"/>
      <c r="O466" s="20"/>
      <c r="R466" s="22"/>
    </row>
    <row r="467" ht="15.75" customHeight="1">
      <c r="L467" s="20"/>
      <c r="M467" s="20"/>
      <c r="O467" s="20"/>
      <c r="R467" s="22"/>
    </row>
    <row r="468" ht="15.75" customHeight="1">
      <c r="L468" s="20"/>
      <c r="M468" s="20"/>
      <c r="O468" s="20"/>
      <c r="R468" s="22"/>
    </row>
    <row r="469" ht="15.75" customHeight="1">
      <c r="L469" s="20"/>
      <c r="M469" s="20"/>
      <c r="O469" s="20"/>
      <c r="R469" s="22"/>
    </row>
    <row r="470" ht="15.75" customHeight="1">
      <c r="L470" s="20"/>
      <c r="M470" s="20"/>
      <c r="O470" s="20"/>
      <c r="R470" s="22"/>
    </row>
    <row r="471" ht="15.75" customHeight="1">
      <c r="L471" s="20"/>
      <c r="M471" s="20"/>
      <c r="O471" s="20"/>
      <c r="R471" s="22"/>
    </row>
    <row r="472" ht="15.75" customHeight="1">
      <c r="L472" s="20"/>
      <c r="M472" s="20"/>
      <c r="O472" s="20"/>
      <c r="R472" s="22"/>
    </row>
    <row r="473" ht="15.75" customHeight="1">
      <c r="L473" s="20"/>
      <c r="M473" s="20"/>
      <c r="O473" s="20"/>
      <c r="R473" s="22"/>
    </row>
    <row r="474" ht="15.75" customHeight="1">
      <c r="L474" s="20"/>
      <c r="M474" s="20"/>
      <c r="O474" s="20"/>
      <c r="R474" s="22"/>
    </row>
    <row r="475" ht="15.75" customHeight="1">
      <c r="L475" s="20"/>
      <c r="M475" s="20"/>
      <c r="O475" s="20"/>
      <c r="R475" s="22"/>
    </row>
    <row r="476" ht="15.75" customHeight="1">
      <c r="L476" s="20"/>
      <c r="M476" s="20"/>
      <c r="O476" s="20"/>
      <c r="R476" s="22"/>
    </row>
    <row r="477" ht="15.75" customHeight="1">
      <c r="L477" s="20"/>
      <c r="M477" s="20"/>
      <c r="O477" s="20"/>
      <c r="R477" s="22"/>
    </row>
    <row r="478" ht="15.75" customHeight="1">
      <c r="L478" s="20"/>
      <c r="M478" s="20"/>
      <c r="O478" s="20"/>
      <c r="R478" s="22"/>
    </row>
    <row r="479" ht="15.75" customHeight="1">
      <c r="L479" s="20"/>
      <c r="M479" s="20"/>
      <c r="O479" s="20"/>
      <c r="R479" s="22"/>
    </row>
    <row r="480" ht="15.75" customHeight="1">
      <c r="L480" s="20"/>
      <c r="M480" s="20"/>
      <c r="O480" s="20"/>
      <c r="R480" s="22"/>
    </row>
    <row r="481" ht="15.75" customHeight="1">
      <c r="L481" s="20"/>
      <c r="M481" s="20"/>
      <c r="O481" s="20"/>
      <c r="R481" s="22"/>
    </row>
    <row r="482" ht="15.75" customHeight="1">
      <c r="L482" s="20"/>
      <c r="M482" s="20"/>
      <c r="O482" s="20"/>
      <c r="R482" s="22"/>
    </row>
    <row r="483" ht="15.75" customHeight="1">
      <c r="L483" s="20"/>
      <c r="M483" s="20"/>
      <c r="O483" s="20"/>
      <c r="R483" s="22"/>
    </row>
    <row r="484" ht="15.75" customHeight="1">
      <c r="L484" s="20"/>
      <c r="M484" s="20"/>
      <c r="O484" s="20"/>
      <c r="R484" s="22"/>
    </row>
    <row r="485" ht="15.75" customHeight="1">
      <c r="L485" s="20"/>
      <c r="M485" s="20"/>
      <c r="O485" s="20"/>
      <c r="R485" s="22"/>
    </row>
    <row r="486" ht="15.75" customHeight="1">
      <c r="L486" s="20"/>
      <c r="M486" s="20"/>
      <c r="O486" s="20"/>
      <c r="R486" s="22"/>
    </row>
    <row r="487" ht="15.75" customHeight="1">
      <c r="L487" s="20"/>
      <c r="M487" s="20"/>
      <c r="O487" s="20"/>
      <c r="R487" s="22"/>
    </row>
    <row r="488" ht="15.75" customHeight="1">
      <c r="L488" s="20"/>
      <c r="M488" s="20"/>
      <c r="O488" s="20"/>
      <c r="R488" s="22"/>
    </row>
    <row r="489" ht="15.75" customHeight="1">
      <c r="L489" s="20"/>
      <c r="M489" s="20"/>
      <c r="O489" s="20"/>
      <c r="R489" s="22"/>
    </row>
    <row r="490" ht="15.75" customHeight="1">
      <c r="L490" s="20"/>
      <c r="M490" s="20"/>
      <c r="O490" s="20"/>
      <c r="R490" s="22"/>
    </row>
    <row r="491" ht="15.75" customHeight="1">
      <c r="L491" s="20"/>
      <c r="M491" s="20"/>
      <c r="O491" s="20"/>
      <c r="R491" s="22"/>
    </row>
    <row r="492" ht="15.75" customHeight="1">
      <c r="L492" s="20"/>
      <c r="M492" s="20"/>
      <c r="O492" s="20"/>
      <c r="R492" s="22"/>
    </row>
    <row r="493" ht="15.75" customHeight="1">
      <c r="L493" s="20"/>
      <c r="M493" s="20"/>
      <c r="O493" s="20"/>
      <c r="R493" s="22"/>
    </row>
    <row r="494" ht="15.75" customHeight="1">
      <c r="L494" s="20"/>
      <c r="M494" s="20"/>
      <c r="O494" s="20"/>
      <c r="R494" s="22"/>
    </row>
    <row r="495" ht="15.75" customHeight="1">
      <c r="L495" s="20"/>
      <c r="M495" s="20"/>
      <c r="O495" s="20"/>
      <c r="R495" s="22"/>
    </row>
    <row r="496" ht="15.75" customHeight="1">
      <c r="L496" s="20"/>
      <c r="M496" s="20"/>
      <c r="O496" s="20"/>
      <c r="R496" s="22"/>
    </row>
    <row r="497" ht="15.75" customHeight="1">
      <c r="L497" s="20"/>
      <c r="M497" s="20"/>
      <c r="O497" s="20"/>
      <c r="R497" s="22"/>
    </row>
    <row r="498" ht="15.75" customHeight="1">
      <c r="L498" s="20"/>
      <c r="M498" s="20"/>
      <c r="O498" s="20"/>
      <c r="R498" s="22"/>
    </row>
    <row r="499" ht="15.75" customHeight="1">
      <c r="L499" s="20"/>
      <c r="M499" s="20"/>
      <c r="O499" s="20"/>
      <c r="R499" s="22"/>
    </row>
    <row r="500" ht="15.75" customHeight="1">
      <c r="L500" s="20"/>
      <c r="M500" s="20"/>
      <c r="O500" s="20"/>
      <c r="R500" s="22"/>
    </row>
    <row r="501" ht="15.75" customHeight="1">
      <c r="L501" s="20"/>
      <c r="M501" s="20"/>
      <c r="O501" s="20"/>
      <c r="R501" s="22"/>
    </row>
    <row r="502" ht="15.75" customHeight="1">
      <c r="L502" s="20"/>
      <c r="M502" s="20"/>
      <c r="O502" s="20"/>
      <c r="R502" s="22"/>
    </row>
    <row r="503" ht="15.75" customHeight="1">
      <c r="L503" s="20"/>
      <c r="M503" s="20"/>
      <c r="O503" s="20"/>
      <c r="R503" s="22"/>
    </row>
    <row r="504" ht="15.75" customHeight="1">
      <c r="L504" s="20"/>
      <c r="M504" s="20"/>
      <c r="O504" s="20"/>
      <c r="R504" s="22"/>
    </row>
    <row r="505" ht="15.75" customHeight="1">
      <c r="L505" s="20"/>
      <c r="M505" s="20"/>
      <c r="O505" s="20"/>
      <c r="R505" s="22"/>
    </row>
    <row r="506" ht="15.75" customHeight="1">
      <c r="L506" s="20"/>
      <c r="M506" s="20"/>
      <c r="O506" s="20"/>
      <c r="R506" s="22"/>
    </row>
    <row r="507" ht="15.75" customHeight="1">
      <c r="L507" s="20"/>
      <c r="M507" s="20"/>
      <c r="O507" s="20"/>
      <c r="R507" s="22"/>
    </row>
    <row r="508" ht="15.75" customHeight="1">
      <c r="L508" s="20"/>
      <c r="M508" s="20"/>
      <c r="O508" s="20"/>
      <c r="R508" s="22"/>
    </row>
    <row r="509" ht="15.75" customHeight="1">
      <c r="L509" s="20"/>
      <c r="M509" s="20"/>
      <c r="O509" s="20"/>
      <c r="R509" s="22"/>
    </row>
    <row r="510" ht="15.75" customHeight="1">
      <c r="L510" s="20"/>
      <c r="M510" s="20"/>
      <c r="O510" s="20"/>
      <c r="R510" s="22"/>
    </row>
    <row r="511" ht="15.75" customHeight="1">
      <c r="L511" s="20"/>
      <c r="M511" s="20"/>
      <c r="O511" s="20"/>
      <c r="R511" s="22"/>
    </row>
    <row r="512" ht="15.75" customHeight="1">
      <c r="L512" s="20"/>
      <c r="M512" s="20"/>
      <c r="O512" s="20"/>
      <c r="R512" s="22"/>
    </row>
    <row r="513" ht="15.75" customHeight="1">
      <c r="L513" s="20"/>
      <c r="M513" s="20"/>
      <c r="O513" s="20"/>
      <c r="R513" s="22"/>
    </row>
    <row r="514" ht="15.75" customHeight="1">
      <c r="L514" s="20"/>
      <c r="M514" s="20"/>
      <c r="O514" s="20"/>
      <c r="R514" s="22"/>
    </row>
    <row r="515" ht="15.75" customHeight="1">
      <c r="L515" s="20"/>
      <c r="M515" s="20"/>
      <c r="O515" s="20"/>
      <c r="R515" s="22"/>
    </row>
    <row r="516" ht="15.75" customHeight="1">
      <c r="L516" s="20"/>
      <c r="M516" s="20"/>
      <c r="O516" s="20"/>
      <c r="R516" s="22"/>
    </row>
    <row r="517" ht="15.75" customHeight="1">
      <c r="L517" s="20"/>
      <c r="M517" s="20"/>
      <c r="O517" s="20"/>
      <c r="R517" s="22"/>
    </row>
    <row r="518" ht="15.75" customHeight="1">
      <c r="L518" s="20"/>
      <c r="M518" s="20"/>
      <c r="O518" s="20"/>
      <c r="R518" s="22"/>
    </row>
    <row r="519" ht="15.75" customHeight="1">
      <c r="L519" s="20"/>
      <c r="M519" s="20"/>
      <c r="O519" s="20"/>
      <c r="R519" s="22"/>
    </row>
    <row r="520" ht="15.75" customHeight="1">
      <c r="L520" s="20"/>
      <c r="M520" s="20"/>
      <c r="O520" s="20"/>
      <c r="R520" s="22"/>
    </row>
    <row r="521" ht="15.75" customHeight="1">
      <c r="L521" s="20"/>
      <c r="M521" s="20"/>
      <c r="O521" s="20"/>
      <c r="R521" s="22"/>
    </row>
    <row r="522" ht="15.75" customHeight="1">
      <c r="L522" s="20"/>
      <c r="M522" s="20"/>
      <c r="O522" s="20"/>
      <c r="R522" s="22"/>
    </row>
    <row r="523" ht="15.75" customHeight="1">
      <c r="L523" s="20"/>
      <c r="M523" s="20"/>
      <c r="O523" s="20"/>
      <c r="R523" s="22"/>
    </row>
    <row r="524" ht="15.75" customHeight="1">
      <c r="L524" s="20"/>
      <c r="M524" s="20"/>
      <c r="O524" s="20"/>
      <c r="R524" s="22"/>
    </row>
    <row r="525" ht="15.75" customHeight="1">
      <c r="L525" s="20"/>
      <c r="M525" s="20"/>
      <c r="O525" s="20"/>
      <c r="R525" s="22"/>
    </row>
    <row r="526" ht="15.75" customHeight="1">
      <c r="L526" s="20"/>
      <c r="M526" s="20"/>
      <c r="O526" s="20"/>
      <c r="R526" s="22"/>
    </row>
    <row r="527" ht="15.75" customHeight="1">
      <c r="L527" s="20"/>
      <c r="M527" s="20"/>
      <c r="O527" s="20"/>
      <c r="R527" s="22"/>
    </row>
    <row r="528" ht="15.75" customHeight="1">
      <c r="L528" s="20"/>
      <c r="M528" s="20"/>
      <c r="O528" s="20"/>
      <c r="R528" s="22"/>
    </row>
    <row r="529" ht="15.75" customHeight="1">
      <c r="L529" s="20"/>
      <c r="M529" s="20"/>
      <c r="O529" s="20"/>
      <c r="R529" s="22"/>
    </row>
    <row r="530" ht="15.75" customHeight="1">
      <c r="L530" s="20"/>
      <c r="M530" s="20"/>
      <c r="O530" s="20"/>
      <c r="R530" s="22"/>
    </row>
    <row r="531" ht="15.75" customHeight="1">
      <c r="L531" s="20"/>
      <c r="M531" s="20"/>
      <c r="O531" s="20"/>
      <c r="R531" s="22"/>
    </row>
    <row r="532" ht="15.75" customHeight="1">
      <c r="L532" s="20"/>
      <c r="M532" s="20"/>
      <c r="O532" s="20"/>
      <c r="R532" s="22"/>
    </row>
    <row r="533" ht="15.75" customHeight="1">
      <c r="L533" s="20"/>
      <c r="M533" s="20"/>
      <c r="O533" s="20"/>
      <c r="R533" s="22"/>
    </row>
    <row r="534" ht="15.75" customHeight="1">
      <c r="L534" s="20"/>
      <c r="M534" s="20"/>
      <c r="O534" s="20"/>
      <c r="R534" s="22"/>
    </row>
    <row r="535" ht="15.75" customHeight="1">
      <c r="L535" s="20"/>
      <c r="M535" s="20"/>
      <c r="O535" s="20"/>
      <c r="R535" s="22"/>
    </row>
    <row r="536" ht="15.75" customHeight="1">
      <c r="L536" s="20"/>
      <c r="M536" s="20"/>
      <c r="O536" s="20"/>
      <c r="R536" s="22"/>
    </row>
    <row r="537" ht="15.75" customHeight="1">
      <c r="L537" s="20"/>
      <c r="M537" s="20"/>
      <c r="O537" s="20"/>
      <c r="R537" s="22"/>
    </row>
    <row r="538" ht="15.75" customHeight="1">
      <c r="L538" s="20"/>
      <c r="M538" s="20"/>
      <c r="O538" s="20"/>
      <c r="R538" s="22"/>
    </row>
    <row r="539" ht="15.75" customHeight="1">
      <c r="L539" s="20"/>
      <c r="M539" s="20"/>
      <c r="O539" s="20"/>
      <c r="R539" s="22"/>
    </row>
    <row r="540" ht="15.75" customHeight="1">
      <c r="L540" s="20"/>
      <c r="M540" s="20"/>
      <c r="O540" s="20"/>
      <c r="R540" s="22"/>
    </row>
    <row r="541" ht="15.75" customHeight="1">
      <c r="L541" s="20"/>
      <c r="M541" s="20"/>
      <c r="O541" s="20"/>
      <c r="R541" s="22"/>
    </row>
    <row r="542" ht="15.75" customHeight="1">
      <c r="L542" s="20"/>
      <c r="M542" s="20"/>
      <c r="O542" s="20"/>
      <c r="R542" s="22"/>
    </row>
    <row r="543" ht="15.75" customHeight="1">
      <c r="L543" s="20"/>
      <c r="M543" s="20"/>
      <c r="O543" s="20"/>
      <c r="R543" s="22"/>
    </row>
    <row r="544" ht="15.75" customHeight="1">
      <c r="L544" s="20"/>
      <c r="M544" s="20"/>
      <c r="O544" s="20"/>
      <c r="R544" s="22"/>
    </row>
    <row r="545" ht="15.75" customHeight="1">
      <c r="L545" s="20"/>
      <c r="M545" s="20"/>
      <c r="O545" s="20"/>
      <c r="R545" s="22"/>
    </row>
    <row r="546" ht="15.75" customHeight="1">
      <c r="L546" s="20"/>
      <c r="M546" s="20"/>
      <c r="O546" s="20"/>
      <c r="R546" s="22"/>
    </row>
    <row r="547" ht="15.75" customHeight="1">
      <c r="L547" s="20"/>
      <c r="M547" s="20"/>
      <c r="O547" s="20"/>
      <c r="R547" s="22"/>
    </row>
    <row r="548" ht="15.75" customHeight="1">
      <c r="L548" s="20"/>
      <c r="M548" s="20"/>
      <c r="O548" s="20"/>
      <c r="R548" s="22"/>
    </row>
    <row r="549" ht="15.75" customHeight="1">
      <c r="L549" s="20"/>
      <c r="M549" s="20"/>
      <c r="O549" s="20"/>
      <c r="R549" s="22"/>
    </row>
    <row r="550" ht="15.75" customHeight="1">
      <c r="L550" s="20"/>
      <c r="M550" s="20"/>
      <c r="O550" s="20"/>
      <c r="R550" s="22"/>
    </row>
    <row r="551" ht="15.75" customHeight="1">
      <c r="L551" s="20"/>
      <c r="M551" s="20"/>
      <c r="O551" s="20"/>
      <c r="R551" s="22"/>
    </row>
    <row r="552" ht="15.75" customHeight="1">
      <c r="L552" s="20"/>
      <c r="M552" s="20"/>
      <c r="O552" s="20"/>
      <c r="R552" s="22"/>
    </row>
    <row r="553" ht="15.75" customHeight="1">
      <c r="L553" s="20"/>
      <c r="M553" s="20"/>
      <c r="O553" s="20"/>
      <c r="R553" s="22"/>
    </row>
    <row r="554" ht="15.75" customHeight="1">
      <c r="L554" s="20"/>
      <c r="M554" s="20"/>
      <c r="O554" s="20"/>
      <c r="R554" s="22"/>
    </row>
    <row r="555" ht="15.75" customHeight="1">
      <c r="L555" s="20"/>
      <c r="M555" s="20"/>
      <c r="O555" s="20"/>
      <c r="R555" s="22"/>
    </row>
    <row r="556" ht="15.75" customHeight="1">
      <c r="L556" s="20"/>
      <c r="M556" s="20"/>
      <c r="O556" s="20"/>
      <c r="R556" s="22"/>
    </row>
    <row r="557" ht="15.75" customHeight="1">
      <c r="L557" s="20"/>
      <c r="M557" s="20"/>
      <c r="O557" s="20"/>
      <c r="R557" s="22"/>
    </row>
    <row r="558" ht="15.75" customHeight="1">
      <c r="L558" s="20"/>
      <c r="M558" s="20"/>
      <c r="O558" s="20"/>
      <c r="R558" s="22"/>
    </row>
    <row r="559" ht="15.75" customHeight="1">
      <c r="L559" s="20"/>
      <c r="M559" s="20"/>
      <c r="O559" s="20"/>
      <c r="R559" s="22"/>
    </row>
    <row r="560" ht="15.75" customHeight="1">
      <c r="L560" s="20"/>
      <c r="M560" s="20"/>
      <c r="O560" s="20"/>
      <c r="R560" s="22"/>
    </row>
    <row r="561" ht="15.75" customHeight="1">
      <c r="L561" s="20"/>
      <c r="M561" s="20"/>
      <c r="O561" s="20"/>
      <c r="R561" s="22"/>
    </row>
    <row r="562" ht="15.75" customHeight="1">
      <c r="L562" s="20"/>
      <c r="M562" s="20"/>
      <c r="O562" s="20"/>
      <c r="R562" s="22"/>
    </row>
    <row r="563" ht="15.75" customHeight="1">
      <c r="L563" s="20"/>
      <c r="M563" s="20"/>
      <c r="O563" s="20"/>
      <c r="R563" s="22"/>
    </row>
    <row r="564" ht="15.75" customHeight="1">
      <c r="L564" s="20"/>
      <c r="M564" s="20"/>
      <c r="O564" s="20"/>
      <c r="R564" s="22"/>
    </row>
    <row r="565" ht="15.75" customHeight="1">
      <c r="L565" s="20"/>
      <c r="M565" s="20"/>
      <c r="O565" s="20"/>
      <c r="R565" s="22"/>
    </row>
    <row r="566" ht="15.75" customHeight="1">
      <c r="L566" s="20"/>
      <c r="M566" s="20"/>
      <c r="O566" s="20"/>
      <c r="R566" s="22"/>
    </row>
    <row r="567" ht="15.75" customHeight="1">
      <c r="L567" s="20"/>
      <c r="M567" s="20"/>
      <c r="O567" s="20"/>
      <c r="R567" s="22"/>
    </row>
    <row r="568" ht="15.75" customHeight="1">
      <c r="L568" s="20"/>
      <c r="M568" s="20"/>
      <c r="O568" s="20"/>
      <c r="R568" s="22"/>
    </row>
    <row r="569" ht="15.75" customHeight="1">
      <c r="L569" s="20"/>
      <c r="M569" s="20"/>
      <c r="O569" s="20"/>
      <c r="R569" s="22"/>
    </row>
    <row r="570" ht="15.75" customHeight="1">
      <c r="L570" s="20"/>
      <c r="M570" s="20"/>
      <c r="O570" s="20"/>
      <c r="R570" s="22"/>
    </row>
    <row r="571" ht="15.75" customHeight="1">
      <c r="L571" s="20"/>
      <c r="M571" s="20"/>
      <c r="O571" s="20"/>
      <c r="R571" s="22"/>
    </row>
    <row r="572" ht="15.75" customHeight="1">
      <c r="L572" s="20"/>
      <c r="M572" s="20"/>
      <c r="O572" s="20"/>
      <c r="R572" s="22"/>
    </row>
    <row r="573" ht="15.75" customHeight="1">
      <c r="L573" s="20"/>
      <c r="M573" s="20"/>
      <c r="O573" s="20"/>
      <c r="R573" s="22"/>
    </row>
    <row r="574" ht="15.75" customHeight="1">
      <c r="L574" s="20"/>
      <c r="M574" s="20"/>
      <c r="O574" s="20"/>
      <c r="R574" s="22"/>
    </row>
    <row r="575" ht="15.75" customHeight="1">
      <c r="L575" s="20"/>
      <c r="M575" s="20"/>
      <c r="O575" s="20"/>
      <c r="R575" s="22"/>
    </row>
    <row r="576" ht="15.75" customHeight="1">
      <c r="L576" s="20"/>
      <c r="M576" s="20"/>
      <c r="O576" s="20"/>
      <c r="R576" s="22"/>
    </row>
    <row r="577" ht="15.75" customHeight="1">
      <c r="L577" s="20"/>
      <c r="M577" s="20"/>
      <c r="O577" s="20"/>
      <c r="R577" s="22"/>
    </row>
    <row r="578" ht="15.75" customHeight="1">
      <c r="L578" s="20"/>
      <c r="M578" s="20"/>
      <c r="O578" s="20"/>
      <c r="R578" s="22"/>
    </row>
    <row r="579" ht="15.75" customHeight="1">
      <c r="L579" s="20"/>
      <c r="M579" s="20"/>
      <c r="O579" s="20"/>
      <c r="R579" s="22"/>
    </row>
    <row r="580" ht="15.75" customHeight="1">
      <c r="L580" s="20"/>
      <c r="M580" s="20"/>
      <c r="O580" s="20"/>
      <c r="R580" s="22"/>
    </row>
    <row r="581" ht="15.75" customHeight="1">
      <c r="L581" s="20"/>
      <c r="M581" s="20"/>
      <c r="O581" s="20"/>
      <c r="R581" s="22"/>
    </row>
    <row r="582" ht="15.75" customHeight="1">
      <c r="L582" s="20"/>
      <c r="M582" s="20"/>
      <c r="O582" s="20"/>
      <c r="R582" s="22"/>
    </row>
    <row r="583" ht="15.75" customHeight="1">
      <c r="L583" s="20"/>
      <c r="M583" s="20"/>
      <c r="O583" s="20"/>
      <c r="R583" s="22"/>
    </row>
    <row r="584" ht="15.75" customHeight="1">
      <c r="L584" s="20"/>
      <c r="M584" s="20"/>
      <c r="O584" s="20"/>
      <c r="R584" s="22"/>
    </row>
    <row r="585" ht="15.75" customHeight="1">
      <c r="L585" s="20"/>
      <c r="M585" s="20"/>
      <c r="O585" s="20"/>
      <c r="R585" s="22"/>
    </row>
    <row r="586" ht="15.75" customHeight="1">
      <c r="L586" s="20"/>
      <c r="M586" s="20"/>
      <c r="O586" s="20"/>
      <c r="R586" s="22"/>
    </row>
    <row r="587" ht="15.75" customHeight="1">
      <c r="L587" s="20"/>
      <c r="M587" s="20"/>
      <c r="O587" s="20"/>
      <c r="R587" s="22"/>
    </row>
    <row r="588" ht="15.75" customHeight="1">
      <c r="L588" s="20"/>
      <c r="M588" s="20"/>
      <c r="O588" s="20"/>
      <c r="R588" s="22"/>
    </row>
    <row r="589" ht="15.75" customHeight="1">
      <c r="L589" s="20"/>
      <c r="M589" s="20"/>
      <c r="O589" s="20"/>
      <c r="R589" s="22"/>
    </row>
    <row r="590" ht="15.75" customHeight="1">
      <c r="L590" s="20"/>
      <c r="M590" s="20"/>
      <c r="O590" s="20"/>
      <c r="R590" s="22"/>
    </row>
    <row r="591" ht="15.75" customHeight="1">
      <c r="L591" s="20"/>
      <c r="M591" s="20"/>
      <c r="O591" s="20"/>
      <c r="R591" s="22"/>
    </row>
    <row r="592" ht="15.75" customHeight="1">
      <c r="L592" s="20"/>
      <c r="M592" s="20"/>
      <c r="O592" s="20"/>
      <c r="R592" s="22"/>
    </row>
    <row r="593" ht="15.75" customHeight="1">
      <c r="L593" s="20"/>
      <c r="M593" s="20"/>
      <c r="O593" s="20"/>
      <c r="R593" s="22"/>
    </row>
    <row r="594" ht="15.75" customHeight="1">
      <c r="L594" s="20"/>
      <c r="M594" s="20"/>
      <c r="O594" s="20"/>
      <c r="R594" s="22"/>
    </row>
    <row r="595" ht="15.75" customHeight="1">
      <c r="L595" s="20"/>
      <c r="M595" s="20"/>
      <c r="O595" s="20"/>
      <c r="R595" s="22"/>
    </row>
    <row r="596" ht="15.75" customHeight="1">
      <c r="L596" s="20"/>
      <c r="M596" s="20"/>
      <c r="O596" s="20"/>
      <c r="R596" s="22"/>
    </row>
    <row r="597" ht="15.75" customHeight="1">
      <c r="L597" s="20"/>
      <c r="M597" s="20"/>
      <c r="O597" s="20"/>
      <c r="R597" s="22"/>
    </row>
    <row r="598" ht="15.75" customHeight="1">
      <c r="L598" s="20"/>
      <c r="M598" s="20"/>
      <c r="O598" s="20"/>
      <c r="R598" s="22"/>
    </row>
    <row r="599" ht="15.75" customHeight="1">
      <c r="L599" s="20"/>
      <c r="M599" s="20"/>
      <c r="O599" s="20"/>
      <c r="R599" s="22"/>
    </row>
    <row r="600" ht="15.75" customHeight="1">
      <c r="L600" s="20"/>
      <c r="M600" s="20"/>
      <c r="O600" s="20"/>
      <c r="R600" s="22"/>
    </row>
    <row r="601" ht="15.75" customHeight="1">
      <c r="L601" s="20"/>
      <c r="M601" s="20"/>
      <c r="O601" s="20"/>
      <c r="R601" s="22"/>
    </row>
    <row r="602" ht="15.75" customHeight="1">
      <c r="L602" s="20"/>
      <c r="M602" s="20"/>
      <c r="O602" s="20"/>
      <c r="R602" s="22"/>
    </row>
    <row r="603" ht="15.75" customHeight="1">
      <c r="L603" s="20"/>
      <c r="M603" s="20"/>
      <c r="O603" s="20"/>
      <c r="R603" s="22"/>
    </row>
    <row r="604" ht="15.75" customHeight="1">
      <c r="L604" s="20"/>
      <c r="M604" s="20"/>
      <c r="O604" s="20"/>
      <c r="R604" s="22"/>
    </row>
    <row r="605" ht="15.75" customHeight="1">
      <c r="L605" s="20"/>
      <c r="M605" s="20"/>
      <c r="O605" s="20"/>
      <c r="R605" s="22"/>
    </row>
    <row r="606" ht="15.75" customHeight="1">
      <c r="L606" s="20"/>
      <c r="M606" s="20"/>
      <c r="O606" s="20"/>
      <c r="R606" s="22"/>
    </row>
    <row r="607" ht="15.75" customHeight="1">
      <c r="L607" s="20"/>
      <c r="M607" s="20"/>
      <c r="O607" s="20"/>
      <c r="R607" s="22"/>
    </row>
    <row r="608" ht="15.75" customHeight="1">
      <c r="L608" s="20"/>
      <c r="M608" s="20"/>
      <c r="O608" s="20"/>
      <c r="R608" s="22"/>
    </row>
    <row r="609" ht="15.75" customHeight="1">
      <c r="L609" s="20"/>
      <c r="M609" s="20"/>
      <c r="O609" s="20"/>
      <c r="R609" s="22"/>
    </row>
    <row r="610" ht="15.75" customHeight="1">
      <c r="L610" s="20"/>
      <c r="M610" s="20"/>
      <c r="O610" s="20"/>
      <c r="R610" s="22"/>
    </row>
    <row r="611" ht="15.75" customHeight="1">
      <c r="L611" s="20"/>
      <c r="M611" s="20"/>
      <c r="O611" s="20"/>
      <c r="R611" s="22"/>
    </row>
    <row r="612" ht="15.75" customHeight="1">
      <c r="L612" s="20"/>
      <c r="M612" s="20"/>
      <c r="O612" s="20"/>
      <c r="R612" s="22"/>
    </row>
    <row r="613" ht="15.75" customHeight="1">
      <c r="L613" s="20"/>
      <c r="M613" s="20"/>
      <c r="O613" s="20"/>
      <c r="R613" s="22"/>
    </row>
    <row r="614" ht="15.75" customHeight="1">
      <c r="L614" s="20"/>
      <c r="M614" s="20"/>
      <c r="O614" s="20"/>
      <c r="R614" s="22"/>
    </row>
    <row r="615" ht="15.75" customHeight="1">
      <c r="L615" s="20"/>
      <c r="M615" s="20"/>
      <c r="O615" s="20"/>
      <c r="R615" s="22"/>
    </row>
    <row r="616" ht="15.75" customHeight="1">
      <c r="L616" s="20"/>
      <c r="M616" s="20"/>
      <c r="O616" s="20"/>
      <c r="R616" s="22"/>
    </row>
    <row r="617" ht="15.75" customHeight="1">
      <c r="L617" s="20"/>
      <c r="M617" s="20"/>
      <c r="O617" s="20"/>
      <c r="R617" s="22"/>
    </row>
    <row r="618" ht="15.75" customHeight="1">
      <c r="L618" s="20"/>
      <c r="M618" s="20"/>
      <c r="O618" s="20"/>
      <c r="R618" s="22"/>
    </row>
    <row r="619" ht="15.75" customHeight="1">
      <c r="L619" s="20"/>
      <c r="M619" s="20"/>
      <c r="O619" s="20"/>
      <c r="R619" s="22"/>
    </row>
    <row r="620" ht="15.75" customHeight="1">
      <c r="L620" s="20"/>
      <c r="M620" s="20"/>
      <c r="O620" s="20"/>
      <c r="R620" s="22"/>
    </row>
    <row r="621" ht="15.75" customHeight="1">
      <c r="L621" s="20"/>
      <c r="M621" s="20"/>
      <c r="O621" s="20"/>
      <c r="R621" s="22"/>
    </row>
    <row r="622" ht="15.75" customHeight="1">
      <c r="L622" s="20"/>
      <c r="M622" s="20"/>
      <c r="O622" s="20"/>
      <c r="R622" s="22"/>
    </row>
    <row r="623" ht="15.75" customHeight="1">
      <c r="L623" s="20"/>
      <c r="M623" s="20"/>
      <c r="O623" s="20"/>
      <c r="R623" s="22"/>
    </row>
    <row r="624" ht="15.75" customHeight="1">
      <c r="L624" s="20"/>
      <c r="M624" s="20"/>
      <c r="O624" s="20"/>
      <c r="R624" s="22"/>
    </row>
    <row r="625" ht="15.75" customHeight="1">
      <c r="L625" s="20"/>
      <c r="M625" s="20"/>
      <c r="O625" s="20"/>
      <c r="R625" s="22"/>
    </row>
    <row r="626" ht="15.75" customHeight="1">
      <c r="L626" s="20"/>
      <c r="M626" s="20"/>
      <c r="O626" s="20"/>
      <c r="R626" s="22"/>
    </row>
    <row r="627" ht="15.75" customHeight="1">
      <c r="L627" s="20"/>
      <c r="M627" s="20"/>
      <c r="O627" s="20"/>
      <c r="R627" s="22"/>
    </row>
    <row r="628" ht="15.75" customHeight="1">
      <c r="L628" s="20"/>
      <c r="M628" s="20"/>
      <c r="O628" s="20"/>
      <c r="R628" s="22"/>
    </row>
    <row r="629" ht="15.75" customHeight="1">
      <c r="L629" s="20"/>
      <c r="M629" s="20"/>
      <c r="O629" s="20"/>
      <c r="R629" s="22"/>
    </row>
    <row r="630" ht="15.75" customHeight="1">
      <c r="L630" s="20"/>
      <c r="M630" s="20"/>
      <c r="O630" s="20"/>
      <c r="R630" s="22"/>
    </row>
    <row r="631" ht="15.75" customHeight="1">
      <c r="L631" s="20"/>
      <c r="M631" s="20"/>
      <c r="O631" s="20"/>
      <c r="R631" s="22"/>
    </row>
    <row r="632" ht="15.75" customHeight="1">
      <c r="L632" s="20"/>
      <c r="M632" s="20"/>
      <c r="O632" s="20"/>
      <c r="R632" s="22"/>
    </row>
    <row r="633" ht="15.75" customHeight="1">
      <c r="L633" s="20"/>
      <c r="M633" s="20"/>
      <c r="O633" s="20"/>
      <c r="R633" s="22"/>
    </row>
    <row r="634" ht="15.75" customHeight="1">
      <c r="L634" s="20"/>
      <c r="M634" s="20"/>
      <c r="O634" s="20"/>
      <c r="R634" s="22"/>
    </row>
    <row r="635" ht="15.75" customHeight="1">
      <c r="L635" s="20"/>
      <c r="M635" s="20"/>
      <c r="O635" s="20"/>
      <c r="R635" s="22"/>
    </row>
    <row r="636" ht="15.75" customHeight="1">
      <c r="L636" s="20"/>
      <c r="M636" s="20"/>
      <c r="O636" s="20"/>
      <c r="R636" s="22"/>
    </row>
    <row r="637" ht="15.75" customHeight="1">
      <c r="L637" s="20"/>
      <c r="M637" s="20"/>
      <c r="O637" s="20"/>
      <c r="R637" s="22"/>
    </row>
    <row r="638" ht="15.75" customHeight="1">
      <c r="L638" s="20"/>
      <c r="M638" s="20"/>
      <c r="O638" s="20"/>
      <c r="R638" s="22"/>
    </row>
    <row r="639" ht="15.75" customHeight="1">
      <c r="L639" s="20"/>
      <c r="M639" s="20"/>
      <c r="O639" s="20"/>
      <c r="R639" s="22"/>
    </row>
    <row r="640" ht="15.75" customHeight="1">
      <c r="L640" s="20"/>
      <c r="M640" s="20"/>
      <c r="O640" s="20"/>
      <c r="R640" s="22"/>
    </row>
    <row r="641" ht="15.75" customHeight="1">
      <c r="L641" s="20"/>
      <c r="M641" s="20"/>
      <c r="O641" s="20"/>
      <c r="R641" s="22"/>
    </row>
    <row r="642" ht="15.75" customHeight="1">
      <c r="L642" s="20"/>
      <c r="M642" s="20"/>
      <c r="O642" s="20"/>
      <c r="R642" s="22"/>
    </row>
    <row r="643" ht="15.75" customHeight="1">
      <c r="L643" s="20"/>
      <c r="M643" s="20"/>
      <c r="O643" s="20"/>
      <c r="R643" s="22"/>
    </row>
    <row r="644" ht="15.75" customHeight="1">
      <c r="L644" s="20"/>
      <c r="M644" s="20"/>
      <c r="O644" s="20"/>
      <c r="R644" s="22"/>
    </row>
    <row r="645" ht="15.75" customHeight="1">
      <c r="L645" s="20"/>
      <c r="M645" s="20"/>
      <c r="O645" s="20"/>
      <c r="R645" s="22"/>
    </row>
    <row r="646" ht="15.75" customHeight="1">
      <c r="L646" s="20"/>
      <c r="M646" s="20"/>
      <c r="O646" s="20"/>
      <c r="R646" s="22"/>
    </row>
    <row r="647" ht="15.75" customHeight="1">
      <c r="L647" s="20"/>
      <c r="M647" s="20"/>
      <c r="O647" s="20"/>
      <c r="R647" s="22"/>
    </row>
    <row r="648" ht="15.75" customHeight="1">
      <c r="L648" s="20"/>
      <c r="M648" s="20"/>
      <c r="O648" s="20"/>
      <c r="R648" s="22"/>
    </row>
    <row r="649" ht="15.75" customHeight="1">
      <c r="L649" s="20"/>
      <c r="M649" s="20"/>
      <c r="O649" s="20"/>
      <c r="R649" s="22"/>
    </row>
    <row r="650" ht="15.75" customHeight="1">
      <c r="L650" s="20"/>
      <c r="M650" s="20"/>
      <c r="O650" s="20"/>
      <c r="R650" s="22"/>
    </row>
    <row r="651" ht="15.75" customHeight="1">
      <c r="L651" s="20"/>
      <c r="M651" s="20"/>
      <c r="O651" s="20"/>
      <c r="R651" s="22"/>
    </row>
    <row r="652" ht="15.75" customHeight="1">
      <c r="L652" s="20"/>
      <c r="M652" s="20"/>
      <c r="O652" s="20"/>
      <c r="R652" s="22"/>
    </row>
    <row r="653" ht="15.75" customHeight="1">
      <c r="L653" s="20"/>
      <c r="M653" s="20"/>
      <c r="O653" s="20"/>
      <c r="R653" s="22"/>
    </row>
    <row r="654" ht="15.75" customHeight="1">
      <c r="L654" s="20"/>
      <c r="M654" s="20"/>
      <c r="O654" s="20"/>
      <c r="R654" s="22"/>
    </row>
    <row r="655" ht="15.75" customHeight="1">
      <c r="L655" s="20"/>
      <c r="M655" s="20"/>
      <c r="O655" s="20"/>
      <c r="R655" s="22"/>
    </row>
    <row r="656" ht="15.75" customHeight="1">
      <c r="L656" s="20"/>
      <c r="M656" s="20"/>
      <c r="O656" s="20"/>
      <c r="R656" s="22"/>
    </row>
    <row r="657" ht="15.75" customHeight="1">
      <c r="L657" s="20"/>
      <c r="M657" s="20"/>
      <c r="O657" s="20"/>
      <c r="R657" s="22"/>
    </row>
    <row r="658" ht="15.75" customHeight="1">
      <c r="L658" s="20"/>
      <c r="M658" s="20"/>
      <c r="O658" s="20"/>
      <c r="R658" s="22"/>
    </row>
    <row r="659" ht="15.75" customHeight="1">
      <c r="L659" s="20"/>
      <c r="M659" s="20"/>
      <c r="O659" s="20"/>
      <c r="R659" s="22"/>
    </row>
    <row r="660" ht="15.75" customHeight="1">
      <c r="L660" s="20"/>
      <c r="M660" s="20"/>
      <c r="O660" s="20"/>
      <c r="R660" s="22"/>
    </row>
    <row r="661" ht="15.75" customHeight="1">
      <c r="L661" s="20"/>
      <c r="M661" s="20"/>
      <c r="O661" s="20"/>
      <c r="R661" s="22"/>
    </row>
    <row r="662" ht="15.75" customHeight="1">
      <c r="L662" s="20"/>
      <c r="M662" s="20"/>
      <c r="O662" s="20"/>
      <c r="R662" s="22"/>
    </row>
    <row r="663" ht="15.75" customHeight="1">
      <c r="L663" s="20"/>
      <c r="M663" s="20"/>
      <c r="O663" s="20"/>
      <c r="R663" s="22"/>
    </row>
    <row r="664" ht="15.75" customHeight="1">
      <c r="L664" s="20"/>
      <c r="M664" s="20"/>
      <c r="O664" s="20"/>
      <c r="R664" s="22"/>
    </row>
    <row r="665" ht="15.75" customHeight="1">
      <c r="L665" s="20"/>
      <c r="M665" s="20"/>
      <c r="O665" s="20"/>
      <c r="R665" s="22"/>
    </row>
    <row r="666" ht="15.75" customHeight="1">
      <c r="L666" s="20"/>
      <c r="M666" s="20"/>
      <c r="O666" s="20"/>
      <c r="R666" s="22"/>
    </row>
    <row r="667" ht="15.75" customHeight="1">
      <c r="L667" s="20"/>
      <c r="M667" s="20"/>
      <c r="O667" s="20"/>
      <c r="R667" s="22"/>
    </row>
    <row r="668" ht="15.75" customHeight="1">
      <c r="L668" s="20"/>
      <c r="M668" s="20"/>
      <c r="O668" s="20"/>
      <c r="R668" s="22"/>
    </row>
    <row r="669" ht="15.75" customHeight="1">
      <c r="L669" s="20"/>
      <c r="M669" s="20"/>
      <c r="O669" s="20"/>
      <c r="R669" s="22"/>
    </row>
    <row r="670" ht="15.75" customHeight="1">
      <c r="L670" s="20"/>
      <c r="M670" s="20"/>
      <c r="O670" s="20"/>
      <c r="R670" s="22"/>
    </row>
    <row r="671" ht="15.75" customHeight="1">
      <c r="L671" s="20"/>
      <c r="M671" s="20"/>
      <c r="O671" s="20"/>
      <c r="R671" s="22"/>
    </row>
    <row r="672" ht="15.75" customHeight="1">
      <c r="L672" s="20"/>
      <c r="M672" s="20"/>
      <c r="O672" s="20"/>
      <c r="R672" s="22"/>
    </row>
    <row r="673" ht="15.75" customHeight="1">
      <c r="L673" s="20"/>
      <c r="M673" s="20"/>
      <c r="O673" s="20"/>
      <c r="R673" s="22"/>
    </row>
    <row r="674" ht="15.75" customHeight="1">
      <c r="L674" s="20"/>
      <c r="M674" s="20"/>
      <c r="O674" s="20"/>
      <c r="R674" s="22"/>
    </row>
    <row r="675" ht="15.75" customHeight="1">
      <c r="L675" s="20"/>
      <c r="M675" s="20"/>
      <c r="O675" s="20"/>
      <c r="R675" s="22"/>
    </row>
    <row r="676" ht="15.75" customHeight="1">
      <c r="L676" s="20"/>
      <c r="M676" s="20"/>
      <c r="O676" s="20"/>
      <c r="R676" s="22"/>
    </row>
    <row r="677" ht="15.75" customHeight="1">
      <c r="L677" s="20"/>
      <c r="M677" s="20"/>
      <c r="O677" s="20"/>
      <c r="R677" s="22"/>
    </row>
    <row r="678" ht="15.75" customHeight="1">
      <c r="L678" s="20"/>
      <c r="M678" s="20"/>
      <c r="O678" s="20"/>
      <c r="R678" s="22"/>
    </row>
    <row r="679" ht="15.75" customHeight="1">
      <c r="L679" s="20"/>
      <c r="M679" s="20"/>
      <c r="O679" s="20"/>
      <c r="R679" s="22"/>
    </row>
    <row r="680" ht="15.75" customHeight="1">
      <c r="L680" s="20"/>
      <c r="M680" s="20"/>
      <c r="O680" s="20"/>
      <c r="R680" s="22"/>
    </row>
    <row r="681" ht="15.75" customHeight="1">
      <c r="L681" s="20"/>
      <c r="M681" s="20"/>
      <c r="O681" s="20"/>
      <c r="R681" s="22"/>
    </row>
    <row r="682" ht="15.75" customHeight="1">
      <c r="L682" s="20"/>
      <c r="M682" s="20"/>
      <c r="O682" s="20"/>
      <c r="R682" s="22"/>
    </row>
    <row r="683" ht="15.75" customHeight="1">
      <c r="L683" s="20"/>
      <c r="M683" s="20"/>
      <c r="O683" s="20"/>
      <c r="R683" s="22"/>
    </row>
    <row r="684" ht="15.75" customHeight="1">
      <c r="L684" s="20"/>
      <c r="M684" s="20"/>
      <c r="O684" s="20"/>
      <c r="R684" s="22"/>
    </row>
    <row r="685" ht="15.75" customHeight="1">
      <c r="L685" s="20"/>
      <c r="M685" s="20"/>
      <c r="O685" s="20"/>
      <c r="R685" s="22"/>
    </row>
    <row r="686" ht="15.75" customHeight="1">
      <c r="L686" s="20"/>
      <c r="M686" s="20"/>
      <c r="O686" s="20"/>
      <c r="R686" s="22"/>
    </row>
    <row r="687" ht="15.75" customHeight="1">
      <c r="L687" s="20"/>
      <c r="M687" s="20"/>
      <c r="O687" s="20"/>
      <c r="R687" s="22"/>
    </row>
    <row r="688" ht="15.75" customHeight="1">
      <c r="L688" s="20"/>
      <c r="M688" s="20"/>
      <c r="O688" s="20"/>
      <c r="R688" s="22"/>
    </row>
    <row r="689" ht="15.75" customHeight="1">
      <c r="L689" s="20"/>
      <c r="M689" s="20"/>
      <c r="O689" s="20"/>
      <c r="R689" s="22"/>
    </row>
    <row r="690" ht="15.75" customHeight="1">
      <c r="L690" s="20"/>
      <c r="M690" s="20"/>
      <c r="O690" s="20"/>
      <c r="R690" s="22"/>
    </row>
    <row r="691" ht="15.75" customHeight="1">
      <c r="L691" s="20"/>
      <c r="M691" s="20"/>
      <c r="O691" s="20"/>
      <c r="R691" s="22"/>
    </row>
    <row r="692" ht="15.75" customHeight="1">
      <c r="L692" s="20"/>
      <c r="M692" s="20"/>
      <c r="O692" s="20"/>
      <c r="R692" s="22"/>
    </row>
    <row r="693" ht="15.75" customHeight="1">
      <c r="L693" s="20"/>
      <c r="M693" s="20"/>
      <c r="O693" s="20"/>
      <c r="R693" s="22"/>
    </row>
    <row r="694" ht="15.75" customHeight="1">
      <c r="L694" s="20"/>
      <c r="M694" s="20"/>
      <c r="O694" s="20"/>
      <c r="R694" s="22"/>
    </row>
    <row r="695" ht="15.75" customHeight="1">
      <c r="L695" s="20"/>
      <c r="M695" s="20"/>
      <c r="O695" s="20"/>
      <c r="R695" s="22"/>
    </row>
    <row r="696" ht="15.75" customHeight="1">
      <c r="L696" s="20"/>
      <c r="M696" s="20"/>
      <c r="O696" s="20"/>
      <c r="R696" s="22"/>
    </row>
    <row r="697" ht="15.75" customHeight="1">
      <c r="L697" s="20"/>
      <c r="M697" s="20"/>
      <c r="O697" s="20"/>
      <c r="R697" s="22"/>
    </row>
    <row r="698" ht="15.75" customHeight="1">
      <c r="L698" s="20"/>
      <c r="M698" s="20"/>
      <c r="O698" s="20"/>
      <c r="R698" s="22"/>
    </row>
    <row r="699" ht="15.75" customHeight="1">
      <c r="L699" s="20"/>
      <c r="M699" s="20"/>
      <c r="O699" s="20"/>
      <c r="R699" s="22"/>
    </row>
    <row r="700" ht="15.75" customHeight="1">
      <c r="L700" s="20"/>
      <c r="M700" s="20"/>
      <c r="O700" s="20"/>
      <c r="R700" s="22"/>
    </row>
    <row r="701" ht="15.75" customHeight="1">
      <c r="L701" s="20"/>
      <c r="M701" s="20"/>
      <c r="O701" s="20"/>
      <c r="R701" s="22"/>
    </row>
    <row r="702" ht="15.75" customHeight="1">
      <c r="L702" s="20"/>
      <c r="M702" s="20"/>
      <c r="O702" s="20"/>
      <c r="R702" s="22"/>
    </row>
    <row r="703" ht="15.75" customHeight="1">
      <c r="L703" s="20"/>
      <c r="M703" s="20"/>
      <c r="O703" s="20"/>
      <c r="R703" s="22"/>
    </row>
    <row r="704" ht="15.75" customHeight="1">
      <c r="L704" s="20"/>
      <c r="M704" s="20"/>
      <c r="O704" s="20"/>
      <c r="R704" s="22"/>
    </row>
    <row r="705" ht="15.75" customHeight="1">
      <c r="L705" s="20"/>
      <c r="M705" s="20"/>
      <c r="O705" s="20"/>
      <c r="R705" s="22"/>
    </row>
    <row r="706" ht="15.75" customHeight="1">
      <c r="L706" s="20"/>
      <c r="M706" s="20"/>
      <c r="O706" s="20"/>
      <c r="R706" s="22"/>
    </row>
    <row r="707" ht="15.75" customHeight="1">
      <c r="L707" s="20"/>
      <c r="M707" s="20"/>
      <c r="O707" s="20"/>
      <c r="R707" s="22"/>
    </row>
    <row r="708" ht="15.75" customHeight="1">
      <c r="L708" s="20"/>
      <c r="M708" s="20"/>
      <c r="O708" s="20"/>
      <c r="R708" s="22"/>
    </row>
    <row r="709" ht="15.75" customHeight="1">
      <c r="L709" s="20"/>
      <c r="M709" s="20"/>
      <c r="O709" s="20"/>
      <c r="R709" s="22"/>
    </row>
    <row r="710" ht="15.75" customHeight="1">
      <c r="L710" s="20"/>
      <c r="M710" s="20"/>
      <c r="O710" s="20"/>
      <c r="R710" s="22"/>
    </row>
    <row r="711" ht="15.75" customHeight="1">
      <c r="L711" s="20"/>
      <c r="M711" s="20"/>
      <c r="O711" s="20"/>
      <c r="R711" s="22"/>
    </row>
    <row r="712" ht="15.75" customHeight="1">
      <c r="L712" s="20"/>
      <c r="M712" s="20"/>
      <c r="O712" s="20"/>
      <c r="R712" s="22"/>
    </row>
    <row r="713" ht="15.75" customHeight="1">
      <c r="L713" s="20"/>
      <c r="M713" s="20"/>
      <c r="O713" s="20"/>
      <c r="R713" s="22"/>
    </row>
    <row r="714" ht="15.75" customHeight="1">
      <c r="L714" s="20"/>
      <c r="M714" s="20"/>
      <c r="O714" s="20"/>
      <c r="R714" s="22"/>
    </row>
    <row r="715" ht="15.75" customHeight="1">
      <c r="L715" s="20"/>
      <c r="M715" s="20"/>
      <c r="O715" s="20"/>
      <c r="R715" s="22"/>
    </row>
    <row r="716" ht="15.75" customHeight="1">
      <c r="L716" s="20"/>
      <c r="M716" s="20"/>
      <c r="O716" s="20"/>
      <c r="R716" s="22"/>
    </row>
    <row r="717" ht="15.75" customHeight="1">
      <c r="L717" s="20"/>
      <c r="M717" s="20"/>
      <c r="O717" s="20"/>
      <c r="R717" s="22"/>
    </row>
    <row r="718" ht="15.75" customHeight="1">
      <c r="L718" s="20"/>
      <c r="M718" s="20"/>
      <c r="O718" s="20"/>
      <c r="R718" s="22"/>
    </row>
    <row r="719" ht="15.75" customHeight="1">
      <c r="L719" s="20"/>
      <c r="M719" s="20"/>
      <c r="O719" s="20"/>
      <c r="R719" s="22"/>
    </row>
    <row r="720" ht="15.75" customHeight="1">
      <c r="L720" s="20"/>
      <c r="M720" s="20"/>
      <c r="O720" s="20"/>
      <c r="R720" s="22"/>
    </row>
    <row r="721" ht="15.75" customHeight="1">
      <c r="L721" s="20"/>
      <c r="M721" s="20"/>
      <c r="O721" s="20"/>
      <c r="R721" s="22"/>
    </row>
    <row r="722" ht="15.75" customHeight="1">
      <c r="L722" s="20"/>
      <c r="M722" s="20"/>
      <c r="O722" s="20"/>
      <c r="R722" s="22"/>
    </row>
    <row r="723" ht="15.75" customHeight="1">
      <c r="L723" s="20"/>
      <c r="M723" s="20"/>
      <c r="O723" s="20"/>
      <c r="R723" s="22"/>
    </row>
    <row r="724" ht="15.75" customHeight="1">
      <c r="L724" s="20"/>
      <c r="M724" s="20"/>
      <c r="O724" s="20"/>
      <c r="R724" s="22"/>
    </row>
    <row r="725" ht="15.75" customHeight="1">
      <c r="L725" s="20"/>
      <c r="M725" s="20"/>
      <c r="O725" s="20"/>
      <c r="R725" s="22"/>
    </row>
    <row r="726" ht="15.75" customHeight="1">
      <c r="L726" s="20"/>
      <c r="M726" s="20"/>
      <c r="O726" s="20"/>
      <c r="R726" s="22"/>
    </row>
    <row r="727" ht="15.75" customHeight="1">
      <c r="L727" s="20"/>
      <c r="M727" s="20"/>
      <c r="O727" s="20"/>
      <c r="R727" s="22"/>
    </row>
    <row r="728" ht="15.75" customHeight="1">
      <c r="L728" s="20"/>
      <c r="M728" s="20"/>
      <c r="O728" s="20"/>
      <c r="R728" s="22"/>
    </row>
    <row r="729" ht="15.75" customHeight="1">
      <c r="L729" s="20"/>
      <c r="M729" s="20"/>
      <c r="O729" s="20"/>
      <c r="R729" s="22"/>
    </row>
    <row r="730" ht="15.75" customHeight="1">
      <c r="L730" s="20"/>
      <c r="M730" s="20"/>
      <c r="O730" s="20"/>
      <c r="R730" s="22"/>
    </row>
    <row r="731" ht="15.75" customHeight="1">
      <c r="L731" s="20"/>
      <c r="M731" s="20"/>
      <c r="O731" s="20"/>
      <c r="R731" s="22"/>
    </row>
    <row r="732" ht="15.75" customHeight="1">
      <c r="L732" s="20"/>
      <c r="M732" s="20"/>
      <c r="O732" s="20"/>
      <c r="R732" s="22"/>
    </row>
    <row r="733" ht="15.75" customHeight="1">
      <c r="L733" s="20"/>
      <c r="M733" s="20"/>
      <c r="O733" s="20"/>
      <c r="R733" s="22"/>
    </row>
    <row r="734" ht="15.75" customHeight="1">
      <c r="L734" s="20"/>
      <c r="M734" s="20"/>
      <c r="O734" s="20"/>
      <c r="R734" s="22"/>
    </row>
    <row r="735" ht="15.75" customHeight="1">
      <c r="L735" s="20"/>
      <c r="M735" s="20"/>
      <c r="O735" s="20"/>
      <c r="R735" s="22"/>
    </row>
    <row r="736" ht="15.75" customHeight="1">
      <c r="L736" s="20"/>
      <c r="M736" s="20"/>
      <c r="O736" s="20"/>
      <c r="R736" s="22"/>
    </row>
    <row r="737" ht="15.75" customHeight="1">
      <c r="L737" s="20"/>
      <c r="M737" s="20"/>
      <c r="O737" s="20"/>
      <c r="R737" s="22"/>
    </row>
    <row r="738" ht="15.75" customHeight="1">
      <c r="L738" s="20"/>
      <c r="M738" s="20"/>
      <c r="O738" s="20"/>
      <c r="R738" s="22"/>
    </row>
    <row r="739" ht="15.75" customHeight="1">
      <c r="L739" s="20"/>
      <c r="M739" s="20"/>
      <c r="O739" s="20"/>
      <c r="R739" s="22"/>
    </row>
    <row r="740" ht="15.75" customHeight="1">
      <c r="L740" s="20"/>
      <c r="M740" s="20"/>
      <c r="O740" s="20"/>
      <c r="R740" s="22"/>
    </row>
    <row r="741" ht="15.75" customHeight="1">
      <c r="L741" s="20"/>
      <c r="M741" s="20"/>
      <c r="O741" s="20"/>
      <c r="R741" s="22"/>
    </row>
    <row r="742" ht="15.75" customHeight="1">
      <c r="L742" s="20"/>
      <c r="M742" s="20"/>
      <c r="O742" s="20"/>
      <c r="R742" s="22"/>
    </row>
    <row r="743" ht="15.75" customHeight="1">
      <c r="L743" s="20"/>
      <c r="M743" s="20"/>
      <c r="O743" s="20"/>
      <c r="R743" s="22"/>
    </row>
    <row r="744" ht="15.75" customHeight="1">
      <c r="L744" s="20"/>
      <c r="M744" s="20"/>
      <c r="O744" s="20"/>
      <c r="R744" s="22"/>
    </row>
    <row r="745" ht="15.75" customHeight="1">
      <c r="L745" s="20"/>
      <c r="M745" s="20"/>
      <c r="O745" s="20"/>
      <c r="R745" s="22"/>
    </row>
    <row r="746" ht="15.75" customHeight="1">
      <c r="L746" s="20"/>
      <c r="M746" s="20"/>
      <c r="O746" s="20"/>
      <c r="R746" s="22"/>
    </row>
    <row r="747" ht="15.75" customHeight="1">
      <c r="L747" s="20"/>
      <c r="M747" s="20"/>
      <c r="O747" s="20"/>
      <c r="R747" s="22"/>
    </row>
    <row r="748" ht="15.75" customHeight="1">
      <c r="L748" s="20"/>
      <c r="M748" s="20"/>
      <c r="O748" s="20"/>
      <c r="R748" s="22"/>
    </row>
    <row r="749" ht="15.75" customHeight="1">
      <c r="L749" s="20"/>
      <c r="M749" s="20"/>
      <c r="O749" s="20"/>
      <c r="R749" s="22"/>
    </row>
    <row r="750" ht="15.75" customHeight="1">
      <c r="L750" s="20"/>
      <c r="M750" s="20"/>
      <c r="O750" s="20"/>
      <c r="R750" s="22"/>
    </row>
    <row r="751" ht="15.75" customHeight="1">
      <c r="L751" s="20"/>
      <c r="M751" s="20"/>
      <c r="O751" s="20"/>
      <c r="R751" s="22"/>
    </row>
    <row r="752" ht="15.75" customHeight="1">
      <c r="L752" s="20"/>
      <c r="M752" s="20"/>
      <c r="O752" s="20"/>
      <c r="R752" s="22"/>
    </row>
    <row r="753" ht="15.75" customHeight="1">
      <c r="L753" s="20"/>
      <c r="M753" s="20"/>
      <c r="O753" s="20"/>
      <c r="R753" s="22"/>
    </row>
    <row r="754" ht="15.75" customHeight="1">
      <c r="L754" s="20"/>
      <c r="M754" s="20"/>
      <c r="O754" s="20"/>
      <c r="R754" s="22"/>
    </row>
    <row r="755" ht="15.75" customHeight="1">
      <c r="L755" s="20"/>
      <c r="M755" s="20"/>
      <c r="O755" s="20"/>
      <c r="R755" s="22"/>
    </row>
    <row r="756" ht="15.75" customHeight="1">
      <c r="L756" s="20"/>
      <c r="M756" s="20"/>
      <c r="O756" s="20"/>
      <c r="R756" s="22"/>
    </row>
    <row r="757" ht="15.75" customHeight="1">
      <c r="L757" s="20"/>
      <c r="M757" s="20"/>
      <c r="O757" s="20"/>
      <c r="R757" s="22"/>
    </row>
    <row r="758" ht="15.75" customHeight="1">
      <c r="L758" s="20"/>
      <c r="M758" s="20"/>
      <c r="O758" s="20"/>
      <c r="R758" s="22"/>
    </row>
    <row r="759" ht="15.75" customHeight="1">
      <c r="L759" s="20"/>
      <c r="M759" s="20"/>
      <c r="O759" s="20"/>
      <c r="R759" s="22"/>
    </row>
    <row r="760" ht="15.75" customHeight="1">
      <c r="L760" s="20"/>
      <c r="M760" s="20"/>
      <c r="O760" s="20"/>
      <c r="R760" s="22"/>
    </row>
    <row r="761" ht="15.75" customHeight="1">
      <c r="L761" s="20"/>
      <c r="M761" s="20"/>
      <c r="O761" s="20"/>
      <c r="R761" s="22"/>
    </row>
    <row r="762" ht="15.75" customHeight="1">
      <c r="L762" s="20"/>
      <c r="M762" s="20"/>
      <c r="O762" s="20"/>
      <c r="R762" s="22"/>
    </row>
    <row r="763" ht="15.75" customHeight="1">
      <c r="L763" s="20"/>
      <c r="M763" s="20"/>
      <c r="O763" s="20"/>
      <c r="R763" s="22"/>
    </row>
    <row r="764" ht="15.75" customHeight="1">
      <c r="L764" s="20"/>
      <c r="M764" s="20"/>
      <c r="O764" s="20"/>
      <c r="R764" s="22"/>
    </row>
    <row r="765" ht="15.75" customHeight="1">
      <c r="L765" s="20"/>
      <c r="M765" s="20"/>
      <c r="O765" s="20"/>
      <c r="R765" s="22"/>
    </row>
    <row r="766" ht="15.75" customHeight="1">
      <c r="L766" s="20"/>
      <c r="M766" s="20"/>
      <c r="O766" s="20"/>
      <c r="R766" s="22"/>
    </row>
    <row r="767" ht="15.75" customHeight="1">
      <c r="L767" s="20"/>
      <c r="M767" s="20"/>
      <c r="O767" s="20"/>
      <c r="R767" s="22"/>
    </row>
    <row r="768" ht="15.75" customHeight="1">
      <c r="L768" s="20"/>
      <c r="M768" s="20"/>
      <c r="O768" s="20"/>
      <c r="R768" s="22"/>
    </row>
    <row r="769" ht="15.75" customHeight="1">
      <c r="L769" s="20"/>
      <c r="M769" s="20"/>
      <c r="O769" s="20"/>
      <c r="R769" s="22"/>
    </row>
    <row r="770" ht="15.75" customHeight="1">
      <c r="L770" s="20"/>
      <c r="M770" s="20"/>
      <c r="O770" s="20"/>
      <c r="R770" s="22"/>
    </row>
    <row r="771" ht="15.75" customHeight="1">
      <c r="L771" s="20"/>
      <c r="M771" s="20"/>
      <c r="O771" s="20"/>
      <c r="R771" s="22"/>
    </row>
    <row r="772" ht="15.75" customHeight="1">
      <c r="L772" s="20"/>
      <c r="M772" s="20"/>
      <c r="O772" s="20"/>
      <c r="R772" s="22"/>
    </row>
    <row r="773" ht="15.75" customHeight="1">
      <c r="L773" s="20"/>
      <c r="M773" s="20"/>
      <c r="O773" s="20"/>
      <c r="R773" s="22"/>
    </row>
    <row r="774" ht="15.75" customHeight="1">
      <c r="L774" s="20"/>
      <c r="M774" s="20"/>
      <c r="O774" s="20"/>
      <c r="R774" s="22"/>
    </row>
    <row r="775" ht="15.75" customHeight="1">
      <c r="L775" s="20"/>
      <c r="M775" s="20"/>
      <c r="O775" s="20"/>
      <c r="R775" s="22"/>
    </row>
    <row r="776" ht="15.75" customHeight="1">
      <c r="L776" s="20"/>
      <c r="M776" s="20"/>
      <c r="O776" s="20"/>
      <c r="R776" s="22"/>
    </row>
    <row r="777" ht="15.75" customHeight="1">
      <c r="L777" s="20"/>
      <c r="M777" s="20"/>
      <c r="O777" s="20"/>
      <c r="R777" s="22"/>
    </row>
    <row r="778" ht="15.75" customHeight="1">
      <c r="L778" s="20"/>
      <c r="M778" s="20"/>
      <c r="O778" s="20"/>
      <c r="R778" s="22"/>
    </row>
    <row r="779" ht="15.75" customHeight="1">
      <c r="L779" s="20"/>
      <c r="M779" s="20"/>
      <c r="O779" s="20"/>
      <c r="R779" s="22"/>
    </row>
    <row r="780" ht="15.75" customHeight="1">
      <c r="L780" s="20"/>
      <c r="M780" s="20"/>
      <c r="O780" s="20"/>
      <c r="R780" s="22"/>
    </row>
    <row r="781" ht="15.75" customHeight="1">
      <c r="L781" s="20"/>
      <c r="M781" s="20"/>
      <c r="O781" s="20"/>
      <c r="R781" s="22"/>
    </row>
    <row r="782" ht="15.75" customHeight="1">
      <c r="L782" s="20"/>
      <c r="M782" s="20"/>
      <c r="O782" s="20"/>
      <c r="R782" s="22"/>
    </row>
    <row r="783" ht="15.75" customHeight="1">
      <c r="L783" s="20"/>
      <c r="M783" s="20"/>
      <c r="O783" s="20"/>
      <c r="R783" s="22"/>
    </row>
    <row r="784" ht="15.75" customHeight="1">
      <c r="L784" s="20"/>
      <c r="M784" s="20"/>
      <c r="O784" s="20"/>
      <c r="R784" s="22"/>
    </row>
    <row r="785" ht="15.75" customHeight="1">
      <c r="L785" s="20"/>
      <c r="M785" s="20"/>
      <c r="O785" s="20"/>
      <c r="R785" s="22"/>
    </row>
    <row r="786" ht="15.75" customHeight="1">
      <c r="L786" s="20"/>
      <c r="M786" s="20"/>
      <c r="O786" s="20"/>
      <c r="R786" s="22"/>
    </row>
    <row r="787" ht="15.75" customHeight="1">
      <c r="L787" s="20"/>
      <c r="M787" s="20"/>
      <c r="O787" s="20"/>
      <c r="R787" s="22"/>
    </row>
    <row r="788" ht="15.75" customHeight="1">
      <c r="L788" s="20"/>
      <c r="M788" s="20"/>
      <c r="O788" s="20"/>
      <c r="R788" s="22"/>
    </row>
    <row r="789" ht="15.75" customHeight="1">
      <c r="L789" s="20"/>
      <c r="M789" s="20"/>
      <c r="O789" s="20"/>
      <c r="R789" s="22"/>
    </row>
    <row r="790" ht="15.75" customHeight="1">
      <c r="L790" s="20"/>
      <c r="M790" s="20"/>
      <c r="O790" s="20"/>
      <c r="R790" s="22"/>
    </row>
    <row r="791" ht="15.75" customHeight="1">
      <c r="L791" s="20"/>
      <c r="M791" s="20"/>
      <c r="O791" s="20"/>
      <c r="R791" s="22"/>
    </row>
    <row r="792" ht="15.75" customHeight="1">
      <c r="L792" s="20"/>
      <c r="M792" s="20"/>
      <c r="O792" s="20"/>
      <c r="R792" s="22"/>
    </row>
    <row r="793" ht="15.75" customHeight="1">
      <c r="L793" s="20"/>
      <c r="M793" s="20"/>
      <c r="O793" s="20"/>
      <c r="R793" s="22"/>
    </row>
    <row r="794" ht="15.75" customHeight="1">
      <c r="L794" s="20"/>
      <c r="M794" s="20"/>
      <c r="O794" s="20"/>
      <c r="R794" s="22"/>
    </row>
    <row r="795" ht="15.75" customHeight="1">
      <c r="L795" s="20"/>
      <c r="M795" s="20"/>
      <c r="O795" s="20"/>
      <c r="R795" s="22"/>
    </row>
    <row r="796" ht="15.75" customHeight="1">
      <c r="L796" s="20"/>
      <c r="M796" s="20"/>
      <c r="O796" s="20"/>
      <c r="R796" s="22"/>
    </row>
    <row r="797" ht="15.75" customHeight="1">
      <c r="L797" s="20"/>
      <c r="M797" s="20"/>
      <c r="O797" s="20"/>
      <c r="R797" s="22"/>
    </row>
    <row r="798" ht="15.75" customHeight="1">
      <c r="L798" s="20"/>
      <c r="M798" s="20"/>
      <c r="O798" s="20"/>
      <c r="R798" s="22"/>
    </row>
    <row r="799" ht="15.75" customHeight="1">
      <c r="L799" s="20"/>
      <c r="M799" s="20"/>
      <c r="O799" s="20"/>
      <c r="R799" s="22"/>
    </row>
    <row r="800" ht="15.75" customHeight="1">
      <c r="L800" s="20"/>
      <c r="M800" s="20"/>
      <c r="O800" s="20"/>
      <c r="R800" s="22"/>
    </row>
    <row r="801" ht="15.75" customHeight="1">
      <c r="L801" s="20"/>
      <c r="M801" s="20"/>
      <c r="O801" s="20"/>
      <c r="R801" s="22"/>
    </row>
    <row r="802" ht="15.75" customHeight="1">
      <c r="L802" s="20"/>
      <c r="M802" s="20"/>
      <c r="O802" s="20"/>
      <c r="R802" s="22"/>
    </row>
    <row r="803" ht="15.75" customHeight="1">
      <c r="L803" s="20"/>
      <c r="M803" s="20"/>
      <c r="O803" s="20"/>
      <c r="R803" s="22"/>
    </row>
    <row r="804" ht="15.75" customHeight="1">
      <c r="L804" s="20"/>
      <c r="M804" s="20"/>
      <c r="O804" s="20"/>
      <c r="R804" s="22"/>
    </row>
    <row r="805" ht="15.75" customHeight="1">
      <c r="L805" s="20"/>
      <c r="M805" s="20"/>
      <c r="O805" s="20"/>
      <c r="R805" s="22"/>
    </row>
    <row r="806" ht="15.75" customHeight="1">
      <c r="L806" s="20"/>
      <c r="M806" s="20"/>
      <c r="O806" s="20"/>
      <c r="R806" s="22"/>
    </row>
    <row r="807" ht="15.75" customHeight="1">
      <c r="L807" s="20"/>
      <c r="M807" s="20"/>
      <c r="O807" s="20"/>
      <c r="R807" s="22"/>
    </row>
    <row r="808" ht="15.75" customHeight="1">
      <c r="L808" s="20"/>
      <c r="M808" s="20"/>
      <c r="O808" s="20"/>
      <c r="R808" s="22"/>
    </row>
    <row r="809" ht="15.75" customHeight="1">
      <c r="L809" s="20"/>
      <c r="M809" s="20"/>
      <c r="O809" s="20"/>
      <c r="R809" s="22"/>
    </row>
    <row r="810" ht="15.75" customHeight="1">
      <c r="L810" s="20"/>
      <c r="M810" s="20"/>
      <c r="O810" s="20"/>
      <c r="R810" s="22"/>
    </row>
    <row r="811" ht="15.75" customHeight="1">
      <c r="L811" s="20"/>
      <c r="M811" s="20"/>
      <c r="O811" s="20"/>
      <c r="R811" s="22"/>
    </row>
    <row r="812" ht="15.75" customHeight="1">
      <c r="L812" s="20"/>
      <c r="M812" s="20"/>
      <c r="O812" s="20"/>
      <c r="R812" s="22"/>
    </row>
    <row r="813" ht="15.75" customHeight="1">
      <c r="L813" s="20"/>
      <c r="M813" s="20"/>
      <c r="O813" s="20"/>
      <c r="R813" s="22"/>
    </row>
    <row r="814" ht="15.75" customHeight="1">
      <c r="L814" s="20"/>
      <c r="M814" s="20"/>
      <c r="O814" s="20"/>
      <c r="R814" s="22"/>
    </row>
    <row r="815" ht="15.75" customHeight="1">
      <c r="L815" s="20"/>
      <c r="M815" s="20"/>
      <c r="O815" s="20"/>
      <c r="R815" s="22"/>
    </row>
    <row r="816" ht="15.75" customHeight="1">
      <c r="L816" s="20"/>
      <c r="M816" s="20"/>
      <c r="O816" s="20"/>
      <c r="R816" s="22"/>
    </row>
    <row r="817" ht="15.75" customHeight="1">
      <c r="L817" s="20"/>
      <c r="M817" s="20"/>
      <c r="O817" s="20"/>
      <c r="R817" s="22"/>
    </row>
    <row r="818" ht="15.75" customHeight="1">
      <c r="L818" s="20"/>
      <c r="M818" s="20"/>
      <c r="O818" s="20"/>
      <c r="R818" s="22"/>
    </row>
    <row r="819" ht="15.75" customHeight="1">
      <c r="L819" s="20"/>
      <c r="M819" s="20"/>
      <c r="O819" s="20"/>
      <c r="R819" s="22"/>
    </row>
    <row r="820" ht="15.75" customHeight="1">
      <c r="L820" s="20"/>
      <c r="M820" s="20"/>
      <c r="O820" s="20"/>
      <c r="R820" s="22"/>
    </row>
    <row r="821" ht="15.75" customHeight="1">
      <c r="L821" s="20"/>
      <c r="M821" s="20"/>
      <c r="O821" s="20"/>
      <c r="R821" s="22"/>
    </row>
    <row r="822" ht="15.75" customHeight="1">
      <c r="L822" s="20"/>
      <c r="M822" s="20"/>
      <c r="O822" s="20"/>
      <c r="R822" s="22"/>
    </row>
    <row r="823" ht="15.75" customHeight="1">
      <c r="L823" s="20"/>
      <c r="M823" s="20"/>
      <c r="O823" s="20"/>
      <c r="R823" s="22"/>
    </row>
    <row r="824" ht="15.75" customHeight="1">
      <c r="L824" s="20"/>
      <c r="M824" s="20"/>
      <c r="O824" s="20"/>
      <c r="R824" s="22"/>
    </row>
    <row r="825" ht="15.75" customHeight="1">
      <c r="L825" s="20"/>
      <c r="M825" s="20"/>
      <c r="O825" s="20"/>
      <c r="R825" s="22"/>
    </row>
    <row r="826" ht="15.75" customHeight="1">
      <c r="L826" s="20"/>
      <c r="M826" s="20"/>
      <c r="O826" s="20"/>
      <c r="R826" s="22"/>
    </row>
    <row r="827" ht="15.75" customHeight="1">
      <c r="L827" s="20"/>
      <c r="M827" s="20"/>
      <c r="O827" s="20"/>
      <c r="R827" s="22"/>
    </row>
    <row r="828" ht="15.75" customHeight="1">
      <c r="L828" s="20"/>
      <c r="M828" s="20"/>
      <c r="O828" s="20"/>
      <c r="R828" s="22"/>
    </row>
    <row r="829" ht="15.75" customHeight="1">
      <c r="L829" s="20"/>
      <c r="M829" s="20"/>
      <c r="O829" s="20"/>
      <c r="R829" s="22"/>
    </row>
    <row r="830" ht="15.75" customHeight="1">
      <c r="L830" s="20"/>
      <c r="M830" s="20"/>
      <c r="O830" s="20"/>
      <c r="R830" s="22"/>
    </row>
    <row r="831" ht="15.75" customHeight="1">
      <c r="L831" s="20"/>
      <c r="M831" s="20"/>
      <c r="O831" s="20"/>
      <c r="R831" s="22"/>
    </row>
    <row r="832" ht="15.75" customHeight="1">
      <c r="L832" s="20"/>
      <c r="M832" s="20"/>
      <c r="O832" s="20"/>
      <c r="R832" s="22"/>
    </row>
    <row r="833" ht="15.75" customHeight="1">
      <c r="L833" s="20"/>
      <c r="M833" s="20"/>
      <c r="O833" s="20"/>
      <c r="R833" s="22"/>
    </row>
    <row r="834" ht="15.75" customHeight="1">
      <c r="L834" s="20"/>
      <c r="M834" s="20"/>
      <c r="O834" s="20"/>
      <c r="R834" s="22"/>
    </row>
    <row r="835" ht="15.75" customHeight="1">
      <c r="L835" s="20"/>
      <c r="M835" s="20"/>
      <c r="O835" s="20"/>
      <c r="R835" s="22"/>
    </row>
    <row r="836" ht="15.75" customHeight="1">
      <c r="L836" s="20"/>
      <c r="M836" s="20"/>
      <c r="O836" s="20"/>
      <c r="R836" s="22"/>
    </row>
    <row r="837" ht="15.75" customHeight="1">
      <c r="L837" s="20"/>
      <c r="M837" s="20"/>
      <c r="O837" s="20"/>
      <c r="R837" s="22"/>
    </row>
    <row r="838" ht="15.75" customHeight="1">
      <c r="L838" s="20"/>
      <c r="M838" s="20"/>
      <c r="O838" s="20"/>
      <c r="R838" s="22"/>
    </row>
    <row r="839" ht="15.75" customHeight="1">
      <c r="L839" s="20"/>
      <c r="M839" s="20"/>
      <c r="O839" s="20"/>
      <c r="R839" s="22"/>
    </row>
    <row r="840" ht="15.75" customHeight="1">
      <c r="L840" s="20"/>
      <c r="M840" s="20"/>
      <c r="O840" s="20"/>
      <c r="R840" s="22"/>
    </row>
    <row r="841" ht="15.75" customHeight="1">
      <c r="L841" s="20"/>
      <c r="M841" s="20"/>
      <c r="O841" s="20"/>
      <c r="R841" s="22"/>
    </row>
    <row r="842" ht="15.75" customHeight="1">
      <c r="L842" s="20"/>
      <c r="M842" s="20"/>
      <c r="O842" s="20"/>
      <c r="R842" s="22"/>
    </row>
    <row r="843" ht="15.75" customHeight="1">
      <c r="L843" s="20"/>
      <c r="M843" s="20"/>
      <c r="O843" s="20"/>
      <c r="R843" s="22"/>
    </row>
    <row r="844" ht="15.75" customHeight="1">
      <c r="L844" s="20"/>
      <c r="M844" s="20"/>
      <c r="O844" s="20"/>
      <c r="R844" s="22"/>
    </row>
    <row r="845" ht="15.75" customHeight="1">
      <c r="L845" s="20"/>
      <c r="M845" s="20"/>
      <c r="O845" s="20"/>
      <c r="R845" s="22"/>
    </row>
    <row r="846" ht="15.75" customHeight="1">
      <c r="L846" s="20"/>
      <c r="M846" s="20"/>
      <c r="O846" s="20"/>
      <c r="R846" s="22"/>
    </row>
    <row r="847" ht="15.75" customHeight="1">
      <c r="L847" s="20"/>
      <c r="M847" s="20"/>
      <c r="O847" s="20"/>
      <c r="R847" s="22"/>
    </row>
    <row r="848" ht="15.75" customHeight="1">
      <c r="L848" s="20"/>
      <c r="M848" s="20"/>
      <c r="O848" s="20"/>
      <c r="R848" s="22"/>
    </row>
    <row r="849" ht="15.75" customHeight="1">
      <c r="L849" s="20"/>
      <c r="M849" s="20"/>
      <c r="O849" s="20"/>
      <c r="R849" s="22"/>
    </row>
    <row r="850" ht="15.75" customHeight="1">
      <c r="L850" s="20"/>
      <c r="M850" s="20"/>
      <c r="O850" s="20"/>
      <c r="R850" s="22"/>
    </row>
    <row r="851" ht="15.75" customHeight="1">
      <c r="L851" s="20"/>
      <c r="M851" s="20"/>
      <c r="O851" s="20"/>
      <c r="R851" s="22"/>
    </row>
    <row r="852" ht="15.75" customHeight="1">
      <c r="L852" s="20"/>
      <c r="M852" s="20"/>
      <c r="O852" s="20"/>
      <c r="R852" s="22"/>
    </row>
    <row r="853" ht="15.75" customHeight="1">
      <c r="L853" s="20"/>
      <c r="M853" s="20"/>
      <c r="O853" s="20"/>
      <c r="R853" s="22"/>
    </row>
    <row r="854" ht="15.75" customHeight="1">
      <c r="L854" s="20"/>
      <c r="M854" s="20"/>
      <c r="O854" s="20"/>
      <c r="R854" s="22"/>
    </row>
    <row r="855" ht="15.75" customHeight="1">
      <c r="L855" s="20"/>
      <c r="M855" s="20"/>
      <c r="O855" s="20"/>
      <c r="R855" s="22"/>
    </row>
    <row r="856" ht="15.75" customHeight="1">
      <c r="L856" s="20"/>
      <c r="M856" s="20"/>
      <c r="O856" s="20"/>
      <c r="R856" s="22"/>
    </row>
    <row r="857" ht="15.75" customHeight="1">
      <c r="L857" s="20"/>
      <c r="M857" s="20"/>
      <c r="O857" s="20"/>
      <c r="R857" s="22"/>
    </row>
    <row r="858" ht="15.75" customHeight="1">
      <c r="L858" s="20"/>
      <c r="M858" s="20"/>
      <c r="O858" s="20"/>
      <c r="R858" s="22"/>
    </row>
    <row r="859" ht="15.75" customHeight="1">
      <c r="L859" s="20"/>
      <c r="M859" s="20"/>
      <c r="O859" s="20"/>
      <c r="R859" s="22"/>
    </row>
    <row r="860" ht="15.75" customHeight="1">
      <c r="L860" s="20"/>
      <c r="M860" s="20"/>
      <c r="O860" s="20"/>
      <c r="R860" s="22"/>
    </row>
    <row r="861" ht="15.75" customHeight="1">
      <c r="L861" s="20"/>
      <c r="M861" s="20"/>
      <c r="O861" s="20"/>
      <c r="R861" s="22"/>
    </row>
    <row r="862" ht="15.75" customHeight="1">
      <c r="L862" s="20"/>
      <c r="M862" s="20"/>
      <c r="O862" s="20"/>
      <c r="R862" s="22"/>
    </row>
    <row r="863" ht="15.75" customHeight="1">
      <c r="L863" s="20"/>
      <c r="M863" s="20"/>
      <c r="O863" s="20"/>
      <c r="R863" s="22"/>
    </row>
    <row r="864" ht="15.75" customHeight="1">
      <c r="L864" s="20"/>
      <c r="M864" s="20"/>
      <c r="O864" s="20"/>
      <c r="R864" s="22"/>
    </row>
    <row r="865" ht="15.75" customHeight="1">
      <c r="L865" s="20"/>
      <c r="M865" s="20"/>
      <c r="O865" s="20"/>
      <c r="R865" s="22"/>
    </row>
    <row r="866" ht="15.75" customHeight="1">
      <c r="L866" s="20"/>
      <c r="M866" s="20"/>
      <c r="O866" s="20"/>
      <c r="R866" s="22"/>
    </row>
    <row r="867" ht="15.75" customHeight="1">
      <c r="L867" s="20"/>
      <c r="M867" s="20"/>
      <c r="O867" s="20"/>
      <c r="R867" s="22"/>
    </row>
    <row r="868" ht="15.75" customHeight="1">
      <c r="L868" s="20"/>
      <c r="M868" s="20"/>
      <c r="O868" s="20"/>
      <c r="R868" s="22"/>
    </row>
    <row r="869" ht="15.75" customHeight="1">
      <c r="L869" s="20"/>
      <c r="M869" s="20"/>
      <c r="O869" s="20"/>
      <c r="R869" s="22"/>
    </row>
    <row r="870" ht="15.75" customHeight="1">
      <c r="L870" s="20"/>
      <c r="M870" s="20"/>
      <c r="O870" s="20"/>
      <c r="R870" s="22"/>
    </row>
    <row r="871" ht="15.75" customHeight="1">
      <c r="L871" s="20"/>
      <c r="M871" s="20"/>
      <c r="O871" s="20"/>
      <c r="R871" s="22"/>
    </row>
    <row r="872" ht="15.75" customHeight="1">
      <c r="L872" s="20"/>
      <c r="M872" s="20"/>
      <c r="O872" s="20"/>
      <c r="R872" s="22"/>
    </row>
    <row r="873" ht="15.75" customHeight="1">
      <c r="L873" s="20"/>
      <c r="M873" s="20"/>
      <c r="O873" s="20"/>
      <c r="R873" s="22"/>
    </row>
    <row r="874" ht="15.75" customHeight="1">
      <c r="L874" s="20"/>
      <c r="M874" s="20"/>
      <c r="O874" s="20"/>
      <c r="R874" s="22"/>
    </row>
    <row r="875" ht="15.75" customHeight="1">
      <c r="L875" s="20"/>
      <c r="M875" s="20"/>
      <c r="O875" s="20"/>
      <c r="R875" s="22"/>
    </row>
    <row r="876" ht="15.75" customHeight="1">
      <c r="L876" s="20"/>
      <c r="M876" s="20"/>
      <c r="O876" s="20"/>
      <c r="R876" s="22"/>
    </row>
    <row r="877" ht="15.75" customHeight="1">
      <c r="L877" s="20"/>
      <c r="M877" s="20"/>
      <c r="O877" s="20"/>
      <c r="R877" s="22"/>
    </row>
    <row r="878" ht="15.75" customHeight="1">
      <c r="L878" s="20"/>
      <c r="M878" s="20"/>
      <c r="O878" s="20"/>
      <c r="R878" s="22"/>
    </row>
    <row r="879" ht="15.75" customHeight="1">
      <c r="L879" s="20"/>
      <c r="M879" s="20"/>
      <c r="O879" s="20"/>
      <c r="R879" s="22"/>
    </row>
    <row r="880" ht="15.75" customHeight="1">
      <c r="L880" s="20"/>
      <c r="M880" s="20"/>
      <c r="O880" s="20"/>
      <c r="R880" s="22"/>
    </row>
    <row r="881" ht="15.75" customHeight="1">
      <c r="L881" s="20"/>
      <c r="M881" s="20"/>
      <c r="O881" s="20"/>
      <c r="R881" s="22"/>
    </row>
    <row r="882" ht="15.75" customHeight="1">
      <c r="L882" s="20"/>
      <c r="M882" s="20"/>
      <c r="O882" s="20"/>
      <c r="R882" s="22"/>
    </row>
    <row r="883" ht="15.75" customHeight="1">
      <c r="L883" s="20"/>
      <c r="M883" s="20"/>
      <c r="O883" s="20"/>
      <c r="R883" s="22"/>
    </row>
    <row r="884" ht="15.75" customHeight="1">
      <c r="L884" s="20"/>
      <c r="M884" s="20"/>
      <c r="O884" s="20"/>
      <c r="R884" s="22"/>
    </row>
    <row r="885" ht="15.75" customHeight="1">
      <c r="L885" s="20"/>
      <c r="M885" s="20"/>
      <c r="O885" s="20"/>
      <c r="R885" s="22"/>
    </row>
    <row r="886" ht="15.75" customHeight="1">
      <c r="L886" s="20"/>
      <c r="M886" s="20"/>
      <c r="O886" s="20"/>
      <c r="R886" s="22"/>
    </row>
    <row r="887" ht="15.75" customHeight="1">
      <c r="L887" s="20"/>
      <c r="M887" s="20"/>
      <c r="O887" s="20"/>
      <c r="R887" s="22"/>
    </row>
    <row r="888" ht="15.75" customHeight="1">
      <c r="L888" s="20"/>
      <c r="M888" s="20"/>
      <c r="O888" s="20"/>
      <c r="R888" s="22"/>
    </row>
    <row r="889" ht="15.75" customHeight="1">
      <c r="L889" s="20"/>
      <c r="M889" s="20"/>
      <c r="O889" s="20"/>
      <c r="R889" s="22"/>
    </row>
    <row r="890" ht="15.75" customHeight="1">
      <c r="L890" s="20"/>
      <c r="M890" s="20"/>
      <c r="O890" s="20"/>
      <c r="R890" s="22"/>
    </row>
    <row r="891" ht="15.75" customHeight="1">
      <c r="L891" s="20"/>
      <c r="M891" s="20"/>
      <c r="O891" s="20"/>
      <c r="R891" s="22"/>
    </row>
    <row r="892" ht="15.75" customHeight="1">
      <c r="L892" s="20"/>
      <c r="M892" s="20"/>
      <c r="O892" s="20"/>
      <c r="R892" s="22"/>
    </row>
    <row r="893" ht="15.75" customHeight="1">
      <c r="L893" s="20"/>
      <c r="M893" s="20"/>
      <c r="O893" s="20"/>
      <c r="R893" s="22"/>
    </row>
    <row r="894" ht="15.75" customHeight="1">
      <c r="L894" s="20"/>
      <c r="M894" s="20"/>
      <c r="O894" s="20"/>
      <c r="R894" s="22"/>
    </row>
    <row r="895" ht="15.75" customHeight="1">
      <c r="L895" s="20"/>
      <c r="M895" s="20"/>
      <c r="O895" s="20"/>
      <c r="R895" s="22"/>
    </row>
    <row r="896" ht="15.75" customHeight="1">
      <c r="L896" s="20"/>
      <c r="M896" s="20"/>
      <c r="O896" s="20"/>
      <c r="R896" s="22"/>
    </row>
    <row r="897" ht="15.75" customHeight="1">
      <c r="L897" s="20"/>
      <c r="M897" s="20"/>
      <c r="O897" s="20"/>
      <c r="R897" s="22"/>
    </row>
    <row r="898" ht="15.75" customHeight="1">
      <c r="L898" s="20"/>
      <c r="M898" s="20"/>
      <c r="O898" s="20"/>
      <c r="R898" s="22"/>
    </row>
    <row r="899" ht="15.75" customHeight="1">
      <c r="L899" s="20"/>
      <c r="M899" s="20"/>
      <c r="O899" s="20"/>
      <c r="R899" s="22"/>
    </row>
    <row r="900" ht="15.75" customHeight="1">
      <c r="L900" s="20"/>
      <c r="M900" s="20"/>
      <c r="O900" s="20"/>
      <c r="R900" s="22"/>
    </row>
    <row r="901" ht="15.75" customHeight="1">
      <c r="L901" s="20"/>
      <c r="M901" s="20"/>
      <c r="O901" s="20"/>
      <c r="R901" s="22"/>
    </row>
    <row r="902" ht="15.75" customHeight="1">
      <c r="L902" s="20"/>
      <c r="M902" s="20"/>
      <c r="O902" s="20"/>
      <c r="R902" s="22"/>
    </row>
    <row r="903" ht="15.75" customHeight="1">
      <c r="L903" s="20"/>
      <c r="M903" s="20"/>
      <c r="O903" s="20"/>
      <c r="R903" s="22"/>
    </row>
    <row r="904" ht="15.75" customHeight="1">
      <c r="L904" s="20"/>
      <c r="M904" s="20"/>
      <c r="O904" s="20"/>
      <c r="R904" s="22"/>
    </row>
    <row r="905" ht="15.75" customHeight="1">
      <c r="L905" s="20"/>
      <c r="M905" s="20"/>
      <c r="O905" s="20"/>
      <c r="R905" s="22"/>
    </row>
    <row r="906" ht="15.75" customHeight="1">
      <c r="L906" s="20"/>
      <c r="M906" s="20"/>
      <c r="O906" s="20"/>
      <c r="R906" s="22"/>
    </row>
    <row r="907" ht="15.75" customHeight="1">
      <c r="L907" s="20"/>
      <c r="M907" s="20"/>
      <c r="O907" s="20"/>
      <c r="R907" s="22"/>
    </row>
    <row r="908" ht="15.75" customHeight="1">
      <c r="L908" s="20"/>
      <c r="M908" s="20"/>
      <c r="O908" s="20"/>
      <c r="R908" s="22"/>
    </row>
    <row r="909" ht="15.75" customHeight="1">
      <c r="L909" s="20"/>
      <c r="M909" s="20"/>
      <c r="O909" s="20"/>
      <c r="R909" s="22"/>
    </row>
    <row r="910" ht="15.75" customHeight="1">
      <c r="L910" s="20"/>
      <c r="M910" s="20"/>
      <c r="O910" s="20"/>
      <c r="R910" s="22"/>
    </row>
    <row r="911" ht="15.75" customHeight="1">
      <c r="L911" s="20"/>
      <c r="M911" s="20"/>
      <c r="O911" s="20"/>
      <c r="R911" s="22"/>
    </row>
    <row r="912" ht="15.75" customHeight="1">
      <c r="L912" s="20"/>
      <c r="M912" s="20"/>
      <c r="O912" s="20"/>
      <c r="R912" s="22"/>
    </row>
    <row r="913" ht="15.75" customHeight="1">
      <c r="L913" s="20"/>
      <c r="M913" s="20"/>
      <c r="O913" s="20"/>
      <c r="R913" s="22"/>
    </row>
    <row r="914" ht="15.75" customHeight="1">
      <c r="L914" s="20"/>
      <c r="M914" s="20"/>
      <c r="O914" s="20"/>
      <c r="R914" s="22"/>
    </row>
    <row r="915" ht="15.75" customHeight="1">
      <c r="L915" s="20"/>
      <c r="M915" s="20"/>
      <c r="O915" s="20"/>
      <c r="R915" s="22"/>
    </row>
    <row r="916" ht="15.75" customHeight="1">
      <c r="L916" s="20"/>
      <c r="M916" s="20"/>
      <c r="O916" s="20"/>
      <c r="R916" s="22"/>
    </row>
    <row r="917" ht="15.75" customHeight="1">
      <c r="L917" s="20"/>
      <c r="M917" s="20"/>
      <c r="O917" s="20"/>
      <c r="R917" s="22"/>
    </row>
    <row r="918" ht="15.75" customHeight="1">
      <c r="L918" s="20"/>
      <c r="M918" s="20"/>
      <c r="O918" s="20"/>
      <c r="R918" s="22"/>
    </row>
    <row r="919" ht="15.75" customHeight="1">
      <c r="L919" s="20"/>
      <c r="M919" s="20"/>
      <c r="O919" s="20"/>
      <c r="R919" s="22"/>
    </row>
    <row r="920" ht="15.75" customHeight="1">
      <c r="L920" s="20"/>
      <c r="M920" s="20"/>
      <c r="O920" s="20"/>
      <c r="R920" s="22"/>
    </row>
    <row r="921" ht="15.75" customHeight="1">
      <c r="L921" s="20"/>
      <c r="M921" s="20"/>
      <c r="O921" s="20"/>
      <c r="R921" s="22"/>
    </row>
    <row r="922" ht="15.75" customHeight="1">
      <c r="L922" s="20"/>
      <c r="M922" s="20"/>
      <c r="O922" s="20"/>
      <c r="R922" s="22"/>
    </row>
    <row r="923" ht="15.75" customHeight="1">
      <c r="L923" s="20"/>
      <c r="M923" s="20"/>
      <c r="O923" s="20"/>
      <c r="R923" s="22"/>
    </row>
    <row r="924" ht="15.75" customHeight="1">
      <c r="L924" s="20"/>
      <c r="M924" s="20"/>
      <c r="O924" s="20"/>
      <c r="R924" s="22"/>
    </row>
    <row r="925" ht="15.75" customHeight="1">
      <c r="L925" s="20"/>
      <c r="M925" s="20"/>
      <c r="O925" s="20"/>
      <c r="R925" s="22"/>
    </row>
    <row r="926" ht="15.75" customHeight="1">
      <c r="L926" s="20"/>
      <c r="M926" s="20"/>
      <c r="O926" s="20"/>
      <c r="R926" s="22"/>
    </row>
    <row r="927" ht="15.75" customHeight="1">
      <c r="L927" s="20"/>
      <c r="M927" s="20"/>
      <c r="O927" s="20"/>
      <c r="R927" s="22"/>
    </row>
    <row r="928" ht="15.75" customHeight="1">
      <c r="L928" s="20"/>
      <c r="M928" s="20"/>
      <c r="O928" s="20"/>
      <c r="R928" s="22"/>
    </row>
    <row r="929" ht="15.75" customHeight="1">
      <c r="L929" s="20"/>
      <c r="M929" s="20"/>
      <c r="O929" s="20"/>
      <c r="R929" s="22"/>
    </row>
    <row r="930" ht="15.75" customHeight="1">
      <c r="L930" s="20"/>
      <c r="M930" s="20"/>
      <c r="O930" s="20"/>
      <c r="R930" s="22"/>
    </row>
    <row r="931" ht="15.75" customHeight="1">
      <c r="L931" s="20"/>
      <c r="M931" s="20"/>
      <c r="O931" s="20"/>
      <c r="R931" s="22"/>
    </row>
    <row r="932" ht="15.75" customHeight="1">
      <c r="L932" s="20"/>
      <c r="M932" s="20"/>
      <c r="O932" s="20"/>
      <c r="R932" s="22"/>
    </row>
    <row r="933" ht="15.75" customHeight="1">
      <c r="L933" s="20"/>
      <c r="M933" s="20"/>
      <c r="O933" s="20"/>
      <c r="R933" s="22"/>
    </row>
    <row r="934" ht="15.75" customHeight="1">
      <c r="L934" s="20"/>
      <c r="M934" s="20"/>
      <c r="O934" s="20"/>
      <c r="R934" s="22"/>
    </row>
    <row r="935" ht="15.75" customHeight="1">
      <c r="L935" s="20"/>
      <c r="M935" s="20"/>
      <c r="O935" s="20"/>
      <c r="R935" s="22"/>
    </row>
    <row r="936" ht="15.75" customHeight="1">
      <c r="L936" s="20"/>
      <c r="M936" s="20"/>
      <c r="O936" s="20"/>
      <c r="R936" s="22"/>
    </row>
    <row r="937" ht="15.75" customHeight="1">
      <c r="L937" s="20"/>
      <c r="M937" s="20"/>
      <c r="O937" s="20"/>
      <c r="R937" s="22"/>
    </row>
    <row r="938" ht="15.75" customHeight="1">
      <c r="L938" s="20"/>
      <c r="M938" s="20"/>
      <c r="O938" s="20"/>
      <c r="R938" s="22"/>
    </row>
    <row r="939" ht="15.75" customHeight="1">
      <c r="L939" s="20"/>
      <c r="M939" s="20"/>
      <c r="O939" s="20"/>
      <c r="R939" s="22"/>
    </row>
    <row r="940" ht="15.75" customHeight="1">
      <c r="L940" s="20"/>
      <c r="M940" s="20"/>
      <c r="O940" s="20"/>
      <c r="R940" s="22"/>
    </row>
    <row r="941" ht="15.75" customHeight="1">
      <c r="L941" s="20"/>
      <c r="M941" s="20"/>
      <c r="O941" s="20"/>
      <c r="R941" s="22"/>
    </row>
    <row r="942" ht="15.75" customHeight="1">
      <c r="L942" s="20"/>
      <c r="M942" s="20"/>
      <c r="O942" s="20"/>
      <c r="R942" s="22"/>
    </row>
    <row r="943" ht="15.75" customHeight="1">
      <c r="L943" s="20"/>
      <c r="M943" s="20"/>
      <c r="O943" s="20"/>
      <c r="R943" s="22"/>
    </row>
    <row r="944" ht="15.75" customHeight="1">
      <c r="L944" s="20"/>
      <c r="M944" s="20"/>
      <c r="O944" s="20"/>
      <c r="R944" s="22"/>
    </row>
    <row r="945" ht="15.75" customHeight="1">
      <c r="L945" s="20"/>
      <c r="M945" s="20"/>
      <c r="O945" s="20"/>
      <c r="R945" s="22"/>
    </row>
    <row r="946" ht="15.75" customHeight="1">
      <c r="L946" s="20"/>
      <c r="M946" s="20"/>
      <c r="O946" s="20"/>
      <c r="R946" s="22"/>
    </row>
    <row r="947" ht="15.75" customHeight="1">
      <c r="L947" s="20"/>
      <c r="M947" s="20"/>
      <c r="O947" s="20"/>
      <c r="R947" s="22"/>
    </row>
    <row r="948" ht="15.75" customHeight="1">
      <c r="L948" s="20"/>
      <c r="M948" s="20"/>
      <c r="O948" s="20"/>
      <c r="R948" s="22"/>
    </row>
    <row r="949" ht="15.75" customHeight="1">
      <c r="L949" s="20"/>
      <c r="M949" s="20"/>
      <c r="O949" s="20"/>
      <c r="R949" s="22"/>
    </row>
    <row r="950" ht="15.75" customHeight="1">
      <c r="L950" s="20"/>
      <c r="M950" s="20"/>
      <c r="O950" s="20"/>
      <c r="R950" s="22"/>
    </row>
    <row r="951" ht="15.75" customHeight="1">
      <c r="L951" s="20"/>
      <c r="M951" s="20"/>
      <c r="O951" s="20"/>
      <c r="R951" s="22"/>
    </row>
    <row r="952" ht="15.75" customHeight="1">
      <c r="L952" s="20"/>
      <c r="M952" s="20"/>
      <c r="O952" s="20"/>
      <c r="R952" s="22"/>
    </row>
    <row r="953" ht="15.75" customHeight="1">
      <c r="L953" s="20"/>
      <c r="M953" s="20"/>
      <c r="O953" s="20"/>
      <c r="R953" s="22"/>
    </row>
    <row r="954" ht="15.75" customHeight="1">
      <c r="L954" s="20"/>
      <c r="M954" s="20"/>
      <c r="O954" s="20"/>
      <c r="R954" s="22"/>
    </row>
    <row r="955" ht="15.75" customHeight="1">
      <c r="L955" s="20"/>
      <c r="M955" s="20"/>
      <c r="O955" s="20"/>
      <c r="R955" s="22"/>
    </row>
    <row r="956" ht="15.75" customHeight="1">
      <c r="L956" s="20"/>
      <c r="M956" s="20"/>
      <c r="O956" s="20"/>
      <c r="R956" s="22"/>
    </row>
    <row r="957" ht="15.75" customHeight="1">
      <c r="L957" s="20"/>
      <c r="M957" s="20"/>
      <c r="O957" s="20"/>
      <c r="R957" s="22"/>
    </row>
    <row r="958" ht="15.75" customHeight="1">
      <c r="L958" s="20"/>
      <c r="M958" s="20"/>
      <c r="O958" s="20"/>
      <c r="R958" s="22"/>
    </row>
    <row r="959" ht="15.75" customHeight="1">
      <c r="L959" s="20"/>
      <c r="M959" s="20"/>
      <c r="O959" s="20"/>
      <c r="R959" s="22"/>
    </row>
    <row r="960" ht="15.75" customHeight="1">
      <c r="L960" s="20"/>
      <c r="M960" s="20"/>
      <c r="O960" s="20"/>
      <c r="R960" s="22"/>
    </row>
    <row r="961" ht="15.75" customHeight="1">
      <c r="L961" s="20"/>
      <c r="M961" s="20"/>
      <c r="O961" s="20"/>
      <c r="R961" s="22"/>
    </row>
    <row r="962" ht="15.75" customHeight="1">
      <c r="L962" s="20"/>
      <c r="M962" s="20"/>
      <c r="O962" s="20"/>
      <c r="R962" s="22"/>
    </row>
    <row r="963" ht="15.75" customHeight="1">
      <c r="L963" s="20"/>
      <c r="M963" s="20"/>
      <c r="O963" s="20"/>
      <c r="R963" s="22"/>
    </row>
    <row r="964" ht="15.75" customHeight="1">
      <c r="L964" s="20"/>
      <c r="M964" s="20"/>
      <c r="O964" s="20"/>
      <c r="R964" s="22"/>
    </row>
    <row r="965" ht="15.75" customHeight="1">
      <c r="L965" s="20"/>
      <c r="M965" s="20"/>
      <c r="O965" s="20"/>
      <c r="R965" s="22"/>
    </row>
    <row r="966" ht="15.75" customHeight="1">
      <c r="L966" s="20"/>
      <c r="M966" s="20"/>
      <c r="O966" s="20"/>
      <c r="R966" s="22"/>
    </row>
    <row r="967" ht="15.75" customHeight="1">
      <c r="L967" s="20"/>
      <c r="M967" s="20"/>
      <c r="O967" s="20"/>
      <c r="R967" s="22"/>
    </row>
    <row r="968" ht="15.75" customHeight="1">
      <c r="L968" s="20"/>
      <c r="M968" s="20"/>
      <c r="O968" s="20"/>
      <c r="R968" s="22"/>
    </row>
    <row r="969" ht="15.75" customHeight="1">
      <c r="L969" s="20"/>
      <c r="M969" s="20"/>
      <c r="O969" s="20"/>
      <c r="R969" s="22"/>
    </row>
    <row r="970" ht="15.75" customHeight="1">
      <c r="L970" s="20"/>
      <c r="M970" s="20"/>
      <c r="O970" s="20"/>
      <c r="R970" s="22"/>
    </row>
    <row r="971" ht="15.75" customHeight="1">
      <c r="L971" s="20"/>
      <c r="M971" s="20"/>
      <c r="O971" s="20"/>
      <c r="R971" s="22"/>
    </row>
    <row r="972" ht="15.75" customHeight="1">
      <c r="L972" s="20"/>
      <c r="M972" s="20"/>
      <c r="O972" s="20"/>
      <c r="R972" s="22"/>
    </row>
    <row r="973" ht="15.75" customHeight="1">
      <c r="L973" s="20"/>
      <c r="M973" s="20"/>
      <c r="O973" s="20"/>
      <c r="R973" s="22"/>
    </row>
    <row r="974" ht="15.75" customHeight="1">
      <c r="L974" s="20"/>
      <c r="M974" s="20"/>
      <c r="O974" s="20"/>
      <c r="R974" s="22"/>
    </row>
    <row r="975" ht="15.75" customHeight="1">
      <c r="L975" s="20"/>
      <c r="M975" s="20"/>
      <c r="O975" s="20"/>
      <c r="R975" s="22"/>
    </row>
    <row r="976" ht="15.75" customHeight="1">
      <c r="L976" s="20"/>
      <c r="M976" s="20"/>
      <c r="O976" s="20"/>
      <c r="R976" s="22"/>
    </row>
    <row r="977" ht="15.75" customHeight="1">
      <c r="L977" s="20"/>
      <c r="M977" s="20"/>
      <c r="O977" s="20"/>
      <c r="R977" s="22"/>
    </row>
    <row r="978" ht="15.75" customHeight="1">
      <c r="L978" s="20"/>
      <c r="M978" s="20"/>
      <c r="O978" s="20"/>
      <c r="R978" s="22"/>
    </row>
    <row r="979" ht="15.75" customHeight="1">
      <c r="L979" s="20"/>
      <c r="M979" s="20"/>
      <c r="O979" s="20"/>
      <c r="R979" s="22"/>
    </row>
    <row r="980" ht="15.75" customHeight="1">
      <c r="L980" s="20"/>
      <c r="M980" s="20"/>
      <c r="O980" s="20"/>
      <c r="R980" s="22"/>
    </row>
    <row r="981" ht="15.75" customHeight="1">
      <c r="L981" s="20"/>
      <c r="M981" s="20"/>
      <c r="O981" s="20"/>
      <c r="R981" s="22"/>
    </row>
    <row r="982" ht="15.75" customHeight="1">
      <c r="L982" s="20"/>
      <c r="M982" s="20"/>
      <c r="O982" s="20"/>
      <c r="R982" s="22"/>
    </row>
    <row r="983" ht="15.75" customHeight="1">
      <c r="L983" s="20"/>
      <c r="M983" s="20"/>
      <c r="O983" s="20"/>
      <c r="R983" s="22"/>
    </row>
    <row r="984" ht="15.75" customHeight="1">
      <c r="L984" s="20"/>
      <c r="M984" s="20"/>
      <c r="O984" s="20"/>
      <c r="R984" s="22"/>
    </row>
    <row r="985" ht="15.75" customHeight="1">
      <c r="L985" s="20"/>
      <c r="M985" s="20"/>
      <c r="O985" s="20"/>
      <c r="R985" s="22"/>
    </row>
    <row r="986" ht="15.75" customHeight="1">
      <c r="L986" s="20"/>
      <c r="M986" s="20"/>
      <c r="O986" s="20"/>
      <c r="R986" s="22"/>
    </row>
    <row r="987" ht="15.75" customHeight="1">
      <c r="L987" s="20"/>
      <c r="M987" s="20"/>
      <c r="O987" s="20"/>
      <c r="R987" s="22"/>
    </row>
    <row r="988" ht="15.75" customHeight="1">
      <c r="L988" s="20"/>
      <c r="M988" s="20"/>
      <c r="O988" s="20"/>
      <c r="R988" s="22"/>
    </row>
    <row r="989" ht="15.75" customHeight="1">
      <c r="L989" s="20"/>
      <c r="M989" s="20"/>
      <c r="O989" s="20"/>
      <c r="R989" s="22"/>
    </row>
    <row r="990" ht="15.75" customHeight="1">
      <c r="L990" s="20"/>
      <c r="M990" s="20"/>
      <c r="O990" s="20"/>
      <c r="R990" s="22"/>
    </row>
    <row r="991" ht="15.75" customHeight="1">
      <c r="L991" s="20"/>
      <c r="M991" s="20"/>
      <c r="O991" s="20"/>
      <c r="R991" s="22"/>
    </row>
    <row r="992" ht="15.75" customHeight="1">
      <c r="L992" s="20"/>
      <c r="M992" s="20"/>
      <c r="O992" s="20"/>
      <c r="R992" s="22"/>
    </row>
    <row r="993" ht="15.75" customHeight="1">
      <c r="L993" s="20"/>
      <c r="M993" s="20"/>
      <c r="O993" s="20"/>
      <c r="R993" s="22"/>
    </row>
    <row r="994" ht="15.75" customHeight="1">
      <c r="L994" s="20"/>
      <c r="M994" s="20"/>
      <c r="O994" s="20"/>
      <c r="R994" s="22"/>
    </row>
    <row r="995" ht="15.75" customHeight="1">
      <c r="L995" s="20"/>
      <c r="M995" s="20"/>
      <c r="O995" s="20"/>
      <c r="R995" s="22"/>
    </row>
    <row r="996" ht="15.75" customHeight="1">
      <c r="L996" s="20"/>
      <c r="M996" s="20"/>
      <c r="O996" s="20"/>
      <c r="R996" s="22"/>
    </row>
    <row r="997" ht="15.75" customHeight="1">
      <c r="L997" s="20"/>
      <c r="M997" s="20"/>
      <c r="O997" s="20"/>
      <c r="R997" s="22"/>
    </row>
    <row r="998" ht="15.75" customHeight="1">
      <c r="L998" s="20"/>
      <c r="M998" s="20"/>
      <c r="O998" s="20"/>
      <c r="R998" s="22"/>
    </row>
    <row r="999" ht="15.75" customHeight="1">
      <c r="L999" s="20"/>
      <c r="M999" s="20"/>
      <c r="O999" s="20"/>
      <c r="R999" s="22"/>
    </row>
    <row r="1000" ht="15.75" customHeight="1">
      <c r="L1000" s="20"/>
      <c r="M1000" s="20"/>
      <c r="O1000" s="20"/>
      <c r="R1000" s="2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10" width="13.0"/>
    <col customWidth="1" min="11" max="26" width="10.63"/>
  </cols>
  <sheetData>
    <row r="2">
      <c r="B2" s="20"/>
      <c r="C2" s="20" t="s">
        <v>43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>
      <c r="C3" s="20"/>
      <c r="Q3" s="20"/>
      <c r="R3" s="20"/>
      <c r="S3" s="20"/>
      <c r="T3" s="20"/>
      <c r="U3" s="20"/>
      <c r="V3" s="20"/>
      <c r="W3" s="20"/>
    </row>
    <row r="4">
      <c r="B4" s="34">
        <v>45580.0</v>
      </c>
      <c r="C4" s="20">
        <v>10.1</v>
      </c>
      <c r="D4" s="35">
        <v>0.56</v>
      </c>
      <c r="E4" s="35">
        <v>0.51</v>
      </c>
      <c r="F4" s="36">
        <f t="shared" ref="F4:G4" si="1">AVERAGE(D4:D6)</f>
        <v>0.5366666667</v>
      </c>
      <c r="G4" s="36">
        <f t="shared" si="1"/>
        <v>0.4666666667</v>
      </c>
      <c r="H4" s="20"/>
      <c r="I4" s="20" t="s">
        <v>44</v>
      </c>
      <c r="J4" s="20" t="s">
        <v>45</v>
      </c>
      <c r="K4" s="35">
        <f t="shared" ref="K4:L4" si="2">F4</f>
        <v>0.5366666667</v>
      </c>
      <c r="L4" s="35">
        <f t="shared" si="2"/>
        <v>0.4666666667</v>
      </c>
      <c r="Q4" s="20"/>
      <c r="R4" s="20"/>
      <c r="S4" s="20"/>
      <c r="T4" s="20"/>
      <c r="U4" s="20"/>
      <c r="V4" s="20"/>
      <c r="W4" s="20"/>
    </row>
    <row r="5">
      <c r="B5" s="20"/>
      <c r="C5" s="20"/>
      <c r="D5" s="35">
        <v>0.57</v>
      </c>
      <c r="E5" s="35">
        <v>0.46</v>
      </c>
      <c r="F5" s="37"/>
      <c r="G5" s="37"/>
      <c r="H5" s="20"/>
      <c r="I5" s="20" t="s">
        <v>46</v>
      </c>
      <c r="J5" s="20" t="s">
        <v>47</v>
      </c>
      <c r="K5" s="35">
        <f t="shared" ref="K5:L5" si="3">F7</f>
        <v>3.566666667</v>
      </c>
      <c r="L5" s="35">
        <f t="shared" si="3"/>
        <v>3.51</v>
      </c>
      <c r="Q5" s="20"/>
      <c r="R5" s="20"/>
      <c r="S5" s="20"/>
      <c r="T5" s="20"/>
      <c r="U5" s="20"/>
      <c r="V5" s="20"/>
      <c r="W5" s="20"/>
    </row>
    <row r="6">
      <c r="B6" s="20"/>
      <c r="C6" s="20"/>
      <c r="D6" s="35">
        <v>0.48</v>
      </c>
      <c r="E6" s="35">
        <v>0.43</v>
      </c>
      <c r="F6" s="38"/>
      <c r="G6" s="38"/>
      <c r="H6" s="20"/>
      <c r="I6" s="20" t="s">
        <v>44</v>
      </c>
      <c r="J6" s="20" t="s">
        <v>48</v>
      </c>
      <c r="K6" s="35">
        <f t="shared" ref="K6:L6" si="4">F10</f>
        <v>0.5066666667</v>
      </c>
      <c r="L6" s="35">
        <f t="shared" si="4"/>
        <v>0.39</v>
      </c>
      <c r="Q6" s="20"/>
      <c r="R6" s="20"/>
      <c r="S6" s="20"/>
      <c r="T6" s="20"/>
      <c r="U6" s="20"/>
      <c r="V6" s="20"/>
      <c r="W6" s="20"/>
    </row>
    <row r="7">
      <c r="B7" s="20"/>
      <c r="C7" s="20">
        <v>10.2</v>
      </c>
      <c r="D7" s="35">
        <v>3.03</v>
      </c>
      <c r="E7" s="35">
        <v>2.92</v>
      </c>
      <c r="F7" s="36">
        <f t="shared" ref="F7:G7" si="5">AVERAGE(D7:D9)</f>
        <v>3.566666667</v>
      </c>
      <c r="G7" s="36">
        <f t="shared" si="5"/>
        <v>3.51</v>
      </c>
      <c r="H7" s="20"/>
      <c r="I7" s="20" t="s">
        <v>46</v>
      </c>
      <c r="J7" s="20" t="s">
        <v>49</v>
      </c>
      <c r="K7" s="35">
        <f t="shared" ref="K7:L7" si="6">F13</f>
        <v>1.31</v>
      </c>
      <c r="L7" s="35">
        <f t="shared" si="6"/>
        <v>0.93</v>
      </c>
      <c r="Q7" s="20"/>
      <c r="R7" s="20"/>
      <c r="S7" s="20"/>
      <c r="T7" s="20"/>
      <c r="U7" s="20"/>
      <c r="V7" s="20"/>
      <c r="W7" s="20"/>
    </row>
    <row r="8">
      <c r="B8" s="20"/>
      <c r="C8" s="20"/>
      <c r="D8" s="35">
        <v>3.4</v>
      </c>
      <c r="E8" s="35">
        <v>3.0</v>
      </c>
      <c r="F8" s="37"/>
      <c r="G8" s="37"/>
      <c r="H8" s="20"/>
      <c r="I8" s="20" t="s">
        <v>46</v>
      </c>
      <c r="J8" s="20" t="s">
        <v>50</v>
      </c>
      <c r="K8" s="35">
        <f t="shared" ref="K8:L8" si="7">F16</f>
        <v>0.4266666667</v>
      </c>
      <c r="L8" s="35">
        <f t="shared" si="7"/>
        <v>0.3633333333</v>
      </c>
      <c r="Q8" s="20"/>
      <c r="R8" s="20"/>
      <c r="S8" s="20"/>
      <c r="T8" s="20"/>
      <c r="U8" s="20"/>
      <c r="V8" s="20"/>
      <c r="W8" s="20"/>
    </row>
    <row r="9">
      <c r="B9" s="20"/>
      <c r="C9" s="20"/>
      <c r="D9" s="35">
        <v>4.27</v>
      </c>
      <c r="E9" s="35">
        <v>4.61</v>
      </c>
      <c r="F9" s="38"/>
      <c r="G9" s="38"/>
      <c r="H9" s="20"/>
      <c r="I9" s="20" t="s">
        <v>44</v>
      </c>
      <c r="J9" s="20" t="s">
        <v>51</v>
      </c>
      <c r="K9" s="35">
        <f t="shared" ref="K9:L9" si="8">F19</f>
        <v>0.4666666667</v>
      </c>
      <c r="L9" s="35">
        <f t="shared" si="8"/>
        <v>0.44</v>
      </c>
      <c r="Q9" s="20"/>
      <c r="R9" s="20"/>
      <c r="S9" s="20"/>
      <c r="T9" s="20"/>
      <c r="U9" s="20"/>
      <c r="V9" s="20"/>
      <c r="W9" s="20"/>
    </row>
    <row r="10">
      <c r="B10" s="20"/>
      <c r="C10" s="20">
        <v>10.3</v>
      </c>
      <c r="D10" s="35">
        <v>0.5</v>
      </c>
      <c r="E10" s="35">
        <v>0.38</v>
      </c>
      <c r="F10" s="36">
        <f t="shared" ref="F10:G10" si="9">AVERAGE(D10:D12)</f>
        <v>0.5066666667</v>
      </c>
      <c r="G10" s="36">
        <f t="shared" si="9"/>
        <v>0.39</v>
      </c>
      <c r="H10" s="20"/>
      <c r="I10" s="20"/>
      <c r="J10" s="20"/>
      <c r="K10" s="20"/>
      <c r="L10" s="20"/>
      <c r="Q10" s="20"/>
      <c r="R10" s="20"/>
      <c r="S10" s="20"/>
      <c r="T10" s="20"/>
      <c r="U10" s="20"/>
      <c r="V10" s="20"/>
      <c r="W10" s="20"/>
    </row>
    <row r="11">
      <c r="B11" s="20"/>
      <c r="C11" s="20"/>
      <c r="D11" s="35">
        <v>0.45</v>
      </c>
      <c r="E11" s="35">
        <v>0.3</v>
      </c>
      <c r="F11" s="37"/>
      <c r="G11" s="37"/>
      <c r="H11" s="20"/>
      <c r="I11" s="20"/>
      <c r="J11" s="20" t="s">
        <v>44</v>
      </c>
      <c r="K11" s="35">
        <f t="shared" ref="K11:L11" si="10">AVERAGE(K4,K6,K9)</f>
        <v>0.5033333333</v>
      </c>
      <c r="L11" s="39">
        <f t="shared" si="10"/>
        <v>0.4322222222</v>
      </c>
      <c r="Q11" s="20"/>
      <c r="R11" s="20"/>
      <c r="S11" s="20"/>
      <c r="T11" s="20"/>
      <c r="U11" s="20"/>
      <c r="V11" s="20"/>
      <c r="W11" s="20"/>
    </row>
    <row r="12">
      <c r="B12" s="20"/>
      <c r="C12" s="20"/>
      <c r="D12" s="35">
        <v>0.57</v>
      </c>
      <c r="E12" s="35">
        <v>0.49</v>
      </c>
      <c r="F12" s="38"/>
      <c r="G12" s="38"/>
      <c r="H12" s="20"/>
      <c r="I12" s="20"/>
      <c r="J12" s="20" t="s">
        <v>46</v>
      </c>
      <c r="K12" s="35">
        <f t="shared" ref="K12:L12" si="11">AVERAGE(K5,K7,K8)</f>
        <v>1.767777778</v>
      </c>
      <c r="L12" s="39">
        <f t="shared" si="11"/>
        <v>1.601111111</v>
      </c>
      <c r="Q12" s="20"/>
      <c r="R12" s="20"/>
      <c r="S12" s="20"/>
      <c r="T12" s="20"/>
      <c r="U12" s="20"/>
      <c r="V12" s="20"/>
      <c r="W12" s="20"/>
    </row>
    <row r="13">
      <c r="B13" s="20"/>
      <c r="C13" s="20">
        <v>10.4</v>
      </c>
      <c r="D13" s="35">
        <v>1.64</v>
      </c>
      <c r="E13" s="35">
        <v>1.58</v>
      </c>
      <c r="F13" s="36">
        <f t="shared" ref="F13:G13" si="12">AVERAGE(D13:D15)</f>
        <v>1.31</v>
      </c>
      <c r="G13" s="36">
        <f t="shared" si="12"/>
        <v>0.93</v>
      </c>
      <c r="H13" s="20"/>
      <c r="I13" s="20"/>
      <c r="J13" s="20"/>
      <c r="K13" s="20"/>
      <c r="L13" s="20"/>
      <c r="Q13" s="20"/>
      <c r="R13" s="20"/>
      <c r="S13" s="20"/>
      <c r="T13" s="20"/>
      <c r="U13" s="20"/>
      <c r="V13" s="20"/>
      <c r="W13" s="20"/>
    </row>
    <row r="14">
      <c r="B14" s="20"/>
      <c r="C14" s="20"/>
      <c r="D14" s="35">
        <v>1.18</v>
      </c>
      <c r="E14" s="35">
        <v>1.05</v>
      </c>
      <c r="F14" s="37"/>
      <c r="G14" s="37"/>
      <c r="H14" s="20"/>
      <c r="I14" s="20"/>
      <c r="J14" s="20"/>
      <c r="K14" s="20"/>
      <c r="L14" s="20"/>
      <c r="Q14" s="20"/>
      <c r="R14" s="20"/>
      <c r="S14" s="20"/>
      <c r="T14" s="20"/>
      <c r="U14" s="20"/>
      <c r="V14" s="20"/>
      <c r="W14" s="20"/>
    </row>
    <row r="15">
      <c r="B15" s="20"/>
      <c r="C15" s="20"/>
      <c r="D15" s="35">
        <v>1.11</v>
      </c>
      <c r="E15" s="35">
        <v>0.16</v>
      </c>
      <c r="F15" s="38"/>
      <c r="G15" s="38"/>
      <c r="H15" s="20"/>
      <c r="I15" s="20"/>
      <c r="J15" s="20"/>
      <c r="K15" s="20"/>
      <c r="L15" s="20"/>
      <c r="Q15" s="20"/>
      <c r="R15" s="20"/>
      <c r="S15" s="20"/>
      <c r="T15" s="20"/>
      <c r="U15" s="20"/>
      <c r="V15" s="20"/>
      <c r="W15" s="20"/>
    </row>
    <row r="16">
      <c r="B16" s="20"/>
      <c r="C16" s="20">
        <v>10.5</v>
      </c>
      <c r="D16" s="35">
        <v>0.3</v>
      </c>
      <c r="E16" s="35">
        <v>0.2</v>
      </c>
      <c r="F16" s="36">
        <f t="shared" ref="F16:G16" si="13">AVERAGE(D16:D18)</f>
        <v>0.4266666667</v>
      </c>
      <c r="G16" s="36">
        <f t="shared" si="13"/>
        <v>0.3633333333</v>
      </c>
      <c r="H16" s="20"/>
      <c r="I16" s="20"/>
      <c r="J16" s="20"/>
      <c r="K16" s="20"/>
      <c r="L16" s="20"/>
      <c r="Q16" s="20"/>
      <c r="R16" s="20"/>
      <c r="S16" s="20"/>
      <c r="T16" s="20"/>
      <c r="U16" s="20"/>
      <c r="V16" s="20"/>
      <c r="W16" s="20"/>
    </row>
    <row r="17">
      <c r="B17" s="20"/>
      <c r="C17" s="20"/>
      <c r="D17" s="35">
        <v>0.48</v>
      </c>
      <c r="E17" s="35">
        <v>0.41</v>
      </c>
      <c r="F17" s="37"/>
      <c r="G17" s="37"/>
      <c r="H17" s="20"/>
      <c r="I17" s="20"/>
      <c r="J17" s="20"/>
      <c r="K17" s="20"/>
      <c r="L17" s="20"/>
      <c r="Q17" s="20"/>
      <c r="R17" s="20"/>
      <c r="S17" s="20"/>
      <c r="T17" s="20"/>
      <c r="U17" s="20"/>
      <c r="V17" s="20"/>
      <c r="W17" s="20"/>
    </row>
    <row r="18">
      <c r="B18" s="20"/>
      <c r="C18" s="20"/>
      <c r="D18" s="35">
        <v>0.5</v>
      </c>
      <c r="E18" s="35">
        <v>0.48</v>
      </c>
      <c r="F18" s="38"/>
      <c r="G18" s="38"/>
      <c r="H18" s="20"/>
      <c r="I18" s="20"/>
      <c r="J18" s="20"/>
      <c r="K18" s="20"/>
      <c r="L18" s="20"/>
      <c r="Q18" s="20"/>
      <c r="R18" s="20"/>
      <c r="S18" s="20"/>
      <c r="T18" s="20"/>
      <c r="U18" s="20"/>
      <c r="V18" s="20"/>
      <c r="W18" s="20"/>
    </row>
    <row r="19">
      <c r="B19" s="20"/>
      <c r="C19" s="20">
        <v>10.6</v>
      </c>
      <c r="D19" s="35">
        <v>0.46</v>
      </c>
      <c r="E19" s="35">
        <v>0.4</v>
      </c>
      <c r="F19" s="36">
        <f t="shared" ref="F19:G19" si="14">AVERAGE(D19:D21)</f>
        <v>0.4666666667</v>
      </c>
      <c r="G19" s="36">
        <f t="shared" si="14"/>
        <v>0.44</v>
      </c>
      <c r="H19" s="20"/>
      <c r="I19" s="20"/>
      <c r="J19" s="20"/>
      <c r="K19" s="20"/>
      <c r="L19" s="20"/>
    </row>
    <row r="20">
      <c r="B20" s="20"/>
      <c r="C20" s="20"/>
      <c r="D20" s="35">
        <v>0.44</v>
      </c>
      <c r="E20" s="35">
        <v>0.52</v>
      </c>
      <c r="F20" s="37"/>
      <c r="G20" s="37"/>
      <c r="H20" s="20"/>
      <c r="I20" s="20"/>
      <c r="J20" s="20"/>
      <c r="K20" s="20"/>
      <c r="L20" s="20"/>
    </row>
    <row r="21" ht="15.75" customHeight="1">
      <c r="B21" s="20"/>
      <c r="C21" s="20"/>
      <c r="D21" s="35">
        <v>0.5</v>
      </c>
      <c r="E21" s="35">
        <v>0.4</v>
      </c>
      <c r="F21" s="38"/>
      <c r="G21" s="38"/>
      <c r="H21" s="20"/>
      <c r="I21" s="20"/>
      <c r="J21" s="20"/>
      <c r="K21" s="20"/>
      <c r="L21" s="20"/>
    </row>
    <row r="22" ht="15.75" customHeight="1">
      <c r="C22" s="20"/>
    </row>
    <row r="23" ht="15.75" customHeight="1">
      <c r="C23" s="20"/>
    </row>
    <row r="24" ht="15.75" customHeight="1">
      <c r="C24" s="20"/>
    </row>
    <row r="25" ht="15.75" customHeight="1">
      <c r="C25" s="20"/>
    </row>
    <row r="26" ht="15.75" customHeight="1">
      <c r="C26" s="20"/>
    </row>
    <row r="27" ht="15.75" customHeight="1">
      <c r="C27" s="20"/>
    </row>
    <row r="28" ht="15.75" customHeight="1">
      <c r="C28" s="20"/>
      <c r="I28" s="35"/>
      <c r="J28" s="35"/>
    </row>
    <row r="29" ht="15.75" customHeight="1">
      <c r="C29" s="20"/>
      <c r="I29" s="35"/>
      <c r="J29" s="35"/>
    </row>
    <row r="30" ht="15.75" customHeight="1">
      <c r="C30" s="20"/>
      <c r="I30" s="35"/>
      <c r="J30" s="35"/>
    </row>
    <row r="31" ht="15.75" customHeight="1">
      <c r="C31" s="20"/>
      <c r="I31" s="35"/>
      <c r="J31" s="35"/>
    </row>
    <row r="32" ht="15.75" customHeight="1">
      <c r="C32" s="20"/>
      <c r="I32" s="35"/>
      <c r="J32" s="35"/>
    </row>
    <row r="33" ht="15.75" customHeight="1">
      <c r="C33" s="20"/>
      <c r="I33" s="35"/>
      <c r="J33" s="35"/>
    </row>
    <row r="34" ht="15.75" customHeight="1">
      <c r="C34" s="20"/>
      <c r="I34" s="35"/>
      <c r="J34" s="35"/>
    </row>
    <row r="35" ht="15.75" customHeight="1">
      <c r="C35" s="20"/>
      <c r="I35" s="35"/>
      <c r="J35" s="35"/>
    </row>
    <row r="36" ht="15.75" customHeight="1">
      <c r="C36" s="20"/>
      <c r="I36" s="35"/>
      <c r="J36" s="35"/>
    </row>
    <row r="37" ht="15.75" customHeight="1">
      <c r="C37" s="20"/>
      <c r="I37" s="35"/>
      <c r="J37" s="35"/>
    </row>
    <row r="38" ht="15.75" customHeight="1">
      <c r="C38" s="20"/>
      <c r="I38" s="35"/>
      <c r="J38" s="35"/>
    </row>
    <row r="39" ht="15.75" customHeight="1">
      <c r="C39" s="20"/>
      <c r="I39" s="35"/>
      <c r="J39" s="35"/>
    </row>
    <row r="40" ht="15.75" customHeight="1">
      <c r="C40" s="20"/>
      <c r="I40" s="35"/>
      <c r="J40" s="35"/>
    </row>
    <row r="41" ht="15.75" customHeight="1">
      <c r="C41" s="20"/>
      <c r="I41" s="35"/>
      <c r="J41" s="35"/>
    </row>
    <row r="42" ht="15.75" customHeight="1">
      <c r="C42" s="20"/>
      <c r="I42" s="35"/>
      <c r="J42" s="35"/>
    </row>
    <row r="43" ht="15.75" customHeight="1">
      <c r="C43" s="20"/>
      <c r="I43" s="35"/>
      <c r="J43" s="35"/>
    </row>
    <row r="44" ht="15.75" customHeight="1">
      <c r="C44" s="20"/>
      <c r="I44" s="35"/>
      <c r="J44" s="35"/>
    </row>
    <row r="45" ht="15.75" customHeight="1">
      <c r="C45" s="20"/>
      <c r="I45" s="35"/>
      <c r="J45" s="35"/>
    </row>
    <row r="46" ht="15.75" customHeight="1">
      <c r="C46" s="20"/>
      <c r="I46" s="35"/>
      <c r="J46" s="35"/>
    </row>
    <row r="47" ht="15.75" customHeight="1">
      <c r="C47" s="20"/>
      <c r="I47" s="35"/>
      <c r="J47" s="35"/>
    </row>
    <row r="48" ht="15.75" customHeight="1">
      <c r="C48" s="20"/>
    </row>
    <row r="49" ht="15.75" customHeight="1">
      <c r="C49" s="20"/>
    </row>
    <row r="50" ht="15.75" customHeight="1">
      <c r="C50" s="20"/>
    </row>
    <row r="51" ht="15.75" customHeight="1">
      <c r="C51" s="20"/>
    </row>
    <row r="52" ht="15.75" customHeight="1">
      <c r="C52" s="20"/>
    </row>
    <row r="53" ht="15.75" customHeight="1">
      <c r="C53" s="20"/>
    </row>
    <row r="54" ht="15.75" customHeight="1">
      <c r="C54" s="20"/>
    </row>
    <row r="55" ht="15.75" customHeight="1">
      <c r="C55" s="20"/>
    </row>
    <row r="56" ht="15.75" customHeight="1">
      <c r="C56" s="20"/>
    </row>
    <row r="57" ht="15.75" customHeight="1">
      <c r="C57" s="20"/>
    </row>
    <row r="58" ht="15.75" customHeight="1">
      <c r="C58" s="20"/>
    </row>
    <row r="59" ht="15.75" customHeight="1">
      <c r="C59" s="20"/>
    </row>
    <row r="60" ht="15.75" customHeight="1">
      <c r="C60" s="20"/>
    </row>
    <row r="61" ht="15.75" customHeight="1">
      <c r="C61" s="20"/>
    </row>
    <row r="62" ht="15.75" customHeight="1">
      <c r="C62" s="20"/>
    </row>
    <row r="63" ht="15.75" customHeight="1">
      <c r="C63" s="20"/>
    </row>
    <row r="64" ht="15.75" customHeight="1">
      <c r="C64" s="20"/>
    </row>
    <row r="65" ht="15.75" customHeight="1">
      <c r="C65" s="20"/>
    </row>
    <row r="66" ht="15.75" customHeight="1">
      <c r="C66" s="20"/>
    </row>
    <row r="67" ht="15.75" customHeight="1">
      <c r="C67" s="20"/>
    </row>
    <row r="68" ht="15.75" customHeight="1">
      <c r="C68" s="20"/>
    </row>
    <row r="69" ht="15.75" customHeight="1">
      <c r="C69" s="20"/>
    </row>
    <row r="70" ht="15.75" customHeight="1">
      <c r="C70" s="20"/>
    </row>
    <row r="71" ht="15.75" customHeight="1">
      <c r="C71" s="20"/>
    </row>
    <row r="72" ht="15.75" customHeight="1">
      <c r="C72" s="20"/>
    </row>
    <row r="73" ht="15.75" customHeight="1">
      <c r="C73" s="20"/>
    </row>
    <row r="74" ht="15.75" customHeight="1">
      <c r="C74" s="20"/>
    </row>
    <row r="75" ht="15.75" customHeight="1">
      <c r="C75" s="20"/>
    </row>
    <row r="76" ht="15.75" customHeight="1">
      <c r="C76" s="20"/>
    </row>
    <row r="77" ht="15.75" customHeight="1">
      <c r="C77" s="20"/>
    </row>
    <row r="78" ht="15.75" customHeight="1">
      <c r="C78" s="20"/>
    </row>
    <row r="79" ht="15.75" customHeight="1">
      <c r="C79" s="20"/>
    </row>
    <row r="80" ht="15.75" customHeight="1">
      <c r="C80" s="20"/>
    </row>
    <row r="81" ht="15.75" customHeight="1">
      <c r="C81" s="20"/>
    </row>
    <row r="82" ht="15.75" customHeight="1">
      <c r="C82" s="20"/>
    </row>
    <row r="83" ht="15.75" customHeight="1">
      <c r="C83" s="20"/>
    </row>
    <row r="84" ht="15.75" customHeight="1">
      <c r="C84" s="20"/>
    </row>
    <row r="85" ht="15.75" customHeight="1">
      <c r="C85" s="20"/>
    </row>
    <row r="86" ht="15.75" customHeight="1">
      <c r="C86" s="20"/>
    </row>
    <row r="87" ht="15.75" customHeight="1">
      <c r="C87" s="20"/>
    </row>
    <row r="88" ht="15.75" customHeight="1">
      <c r="C88" s="20"/>
    </row>
    <row r="89" ht="15.75" customHeight="1">
      <c r="C89" s="20"/>
    </row>
    <row r="90" ht="15.75" customHeight="1">
      <c r="C90" s="20"/>
    </row>
    <row r="91" ht="15.75" customHeight="1">
      <c r="C91" s="20"/>
    </row>
    <row r="92" ht="15.75" customHeight="1">
      <c r="C92" s="20"/>
    </row>
    <row r="93" ht="15.75" customHeight="1">
      <c r="C93" s="20"/>
    </row>
    <row r="94" ht="15.75" customHeight="1">
      <c r="C94" s="20"/>
    </row>
    <row r="95" ht="15.75" customHeight="1">
      <c r="C95" s="20"/>
    </row>
    <row r="96" ht="15.75" customHeight="1">
      <c r="C96" s="20"/>
    </row>
    <row r="97" ht="15.75" customHeight="1">
      <c r="C97" s="20"/>
    </row>
    <row r="98" ht="15.75" customHeight="1">
      <c r="C98" s="20"/>
    </row>
    <row r="99" ht="15.75" customHeight="1">
      <c r="A99" s="20"/>
      <c r="C99" s="20"/>
    </row>
    <row r="100" ht="15.75" customHeight="1">
      <c r="A100" s="20"/>
      <c r="C100" s="20"/>
    </row>
    <row r="101" ht="15.75" customHeight="1">
      <c r="A101" s="20"/>
      <c r="C101" s="20"/>
    </row>
    <row r="102" ht="15.75" customHeight="1">
      <c r="A102" s="20"/>
      <c r="C102" s="20"/>
    </row>
    <row r="103" ht="15.75" customHeight="1">
      <c r="A103" s="20"/>
      <c r="C103" s="20"/>
    </row>
    <row r="104" ht="15.75" customHeight="1">
      <c r="A104" s="20"/>
      <c r="C104" s="20"/>
    </row>
    <row r="105" ht="15.75" customHeight="1">
      <c r="A105" s="20"/>
      <c r="C105" s="20"/>
    </row>
    <row r="106" ht="15.75" customHeight="1">
      <c r="A106" s="20"/>
      <c r="C106" s="20"/>
    </row>
    <row r="107" ht="15.75" customHeight="1">
      <c r="A107" s="20"/>
      <c r="C107" s="20"/>
    </row>
    <row r="108" ht="15.75" customHeight="1">
      <c r="A108" s="20"/>
      <c r="C108" s="20"/>
    </row>
    <row r="109" ht="15.75" customHeight="1">
      <c r="A109" s="20"/>
      <c r="C109" s="20"/>
    </row>
    <row r="110" ht="15.75" customHeight="1">
      <c r="A110" s="20"/>
      <c r="C110" s="20"/>
    </row>
    <row r="111" ht="15.75" customHeight="1">
      <c r="A111" s="20"/>
      <c r="C111" s="20"/>
    </row>
    <row r="112" ht="15.75" customHeight="1">
      <c r="A112" s="20"/>
      <c r="C112" s="20"/>
    </row>
    <row r="113" ht="15.75" customHeight="1">
      <c r="A113" s="20"/>
      <c r="C113" s="20"/>
    </row>
    <row r="114" ht="15.75" customHeight="1">
      <c r="A114" s="20"/>
      <c r="C114" s="20"/>
    </row>
    <row r="115" ht="15.75" customHeight="1">
      <c r="A115" s="20"/>
      <c r="C115" s="20"/>
    </row>
    <row r="116" ht="15.75" customHeight="1">
      <c r="A116" s="20"/>
      <c r="C116" s="20"/>
    </row>
    <row r="117" ht="15.75" customHeight="1">
      <c r="C117" s="20"/>
    </row>
    <row r="118" ht="15.75" customHeight="1">
      <c r="A118" s="20"/>
      <c r="C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C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C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C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C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C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C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C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C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C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C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C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C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C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C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C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C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C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C136" s="20"/>
    </row>
    <row r="137" ht="15.75" customHeight="1">
      <c r="C137" s="20"/>
    </row>
    <row r="138" ht="15.75" customHeight="1">
      <c r="C138" s="20"/>
    </row>
    <row r="139" ht="15.75" customHeight="1">
      <c r="C139" s="20"/>
    </row>
    <row r="140" ht="15.75" customHeight="1">
      <c r="C140" s="20"/>
    </row>
    <row r="141" ht="15.75" customHeight="1">
      <c r="C141" s="20"/>
    </row>
    <row r="142" ht="15.75" customHeight="1">
      <c r="C142" s="20"/>
    </row>
    <row r="143" ht="15.75" customHeight="1">
      <c r="C143" s="20"/>
    </row>
    <row r="144" ht="15.75" customHeight="1">
      <c r="C144" s="20"/>
    </row>
    <row r="145" ht="15.75" customHeight="1">
      <c r="C145" s="20"/>
    </row>
    <row r="146" ht="15.75" customHeight="1">
      <c r="C146" s="20"/>
    </row>
    <row r="147" ht="15.75" customHeight="1">
      <c r="C147" s="20"/>
    </row>
    <row r="148" ht="15.75" customHeight="1">
      <c r="C148" s="20"/>
    </row>
    <row r="149" ht="15.75" customHeight="1">
      <c r="C149" s="20"/>
    </row>
    <row r="150" ht="15.75" customHeight="1">
      <c r="C150" s="20"/>
    </row>
    <row r="151" ht="15.75" customHeight="1">
      <c r="C151" s="20"/>
    </row>
    <row r="152" ht="15.75" customHeight="1">
      <c r="C152" s="20"/>
    </row>
    <row r="153" ht="15.75" customHeight="1">
      <c r="C153" s="20"/>
    </row>
    <row r="154" ht="15.75" customHeight="1">
      <c r="C154" s="20"/>
    </row>
    <row r="155" ht="15.75" customHeight="1">
      <c r="C155" s="20"/>
    </row>
    <row r="156" ht="15.75" customHeight="1">
      <c r="C156" s="20"/>
    </row>
    <row r="157" ht="15.75" customHeight="1">
      <c r="C157" s="20"/>
    </row>
    <row r="158" ht="15.75" customHeight="1">
      <c r="C158" s="20"/>
    </row>
    <row r="159" ht="15.75" customHeight="1">
      <c r="C159" s="20"/>
    </row>
    <row r="160" ht="15.75" customHeight="1">
      <c r="C160" s="20"/>
    </row>
    <row r="161" ht="15.75" customHeight="1">
      <c r="C161" s="20"/>
    </row>
    <row r="162" ht="15.75" customHeight="1">
      <c r="C162" s="20"/>
    </row>
    <row r="163" ht="15.75" customHeight="1">
      <c r="C163" s="20"/>
    </row>
    <row r="164" ht="15.75" customHeight="1">
      <c r="C164" s="20"/>
    </row>
    <row r="165" ht="15.75" customHeight="1">
      <c r="C165" s="20"/>
    </row>
    <row r="166" ht="15.75" customHeight="1">
      <c r="C166" s="20"/>
    </row>
    <row r="167" ht="15.75" customHeight="1">
      <c r="C167" s="20"/>
    </row>
    <row r="168" ht="15.75" customHeight="1">
      <c r="C168" s="20"/>
    </row>
    <row r="169" ht="15.75" customHeight="1">
      <c r="C169" s="20"/>
    </row>
    <row r="170" ht="15.75" customHeight="1">
      <c r="C170" s="20"/>
    </row>
    <row r="171" ht="15.75" customHeight="1">
      <c r="C171" s="20"/>
    </row>
    <row r="172" ht="15.75" customHeight="1">
      <c r="C172" s="20"/>
    </row>
    <row r="173" ht="15.75" customHeight="1">
      <c r="C173" s="20"/>
    </row>
    <row r="174" ht="15.75" customHeight="1">
      <c r="C174" s="20"/>
    </row>
    <row r="175" ht="15.75" customHeight="1">
      <c r="C175" s="20"/>
    </row>
    <row r="176" ht="15.75" customHeight="1">
      <c r="C176" s="20"/>
    </row>
    <row r="177" ht="15.75" customHeight="1">
      <c r="C177" s="20"/>
    </row>
    <row r="178" ht="15.75" customHeight="1">
      <c r="C178" s="20"/>
    </row>
    <row r="179" ht="15.75" customHeight="1">
      <c r="C179" s="20"/>
    </row>
    <row r="180" ht="15.75" customHeight="1">
      <c r="C180" s="20"/>
    </row>
    <row r="181" ht="15.75" customHeight="1">
      <c r="C181" s="20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13:F15"/>
    <mergeCell ref="F16:F18"/>
    <mergeCell ref="F19:F21"/>
    <mergeCell ref="G16:G18"/>
    <mergeCell ref="G19:G21"/>
    <mergeCell ref="F4:F6"/>
    <mergeCell ref="G4:G6"/>
    <mergeCell ref="F7:F9"/>
    <mergeCell ref="G7:G9"/>
    <mergeCell ref="F10:F12"/>
    <mergeCell ref="G10:G12"/>
    <mergeCell ref="G13:G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21.88"/>
    <col customWidth="1" min="3" max="84" width="11.38"/>
    <col customWidth="1" min="85" max="111" width="10.63"/>
  </cols>
  <sheetData>
    <row r="1">
      <c r="A1" s="20" t="s">
        <v>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</row>
    <row r="2">
      <c r="A2" s="20" t="s">
        <v>53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</row>
    <row r="4">
      <c r="A4" s="20" t="s">
        <v>54</v>
      </c>
      <c r="B4" s="20">
        <v>4.4381709E7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</row>
    <row r="5">
      <c r="A5" s="20" t="s">
        <v>55</v>
      </c>
      <c r="B5" s="20">
        <v>2.4101511E7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</row>
    <row r="6">
      <c r="A6" s="20" t="s">
        <v>56</v>
      </c>
      <c r="B6" s="20" t="s">
        <v>57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</row>
    <row r="7">
      <c r="A7" s="20" t="s">
        <v>58</v>
      </c>
      <c r="B7" s="40">
        <v>45580.0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</row>
    <row r="8">
      <c r="A8" s="20" t="s">
        <v>59</v>
      </c>
      <c r="B8" s="20">
        <v>3.0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</row>
    <row r="9">
      <c r="A9" s="20" t="s">
        <v>60</v>
      </c>
      <c r="B9" s="20">
        <v>18.0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</row>
    <row r="10">
      <c r="A10" s="20" t="s">
        <v>61</v>
      </c>
      <c r="B10" s="20" t="s">
        <v>62</v>
      </c>
      <c r="C10" s="20" t="s">
        <v>63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</row>
    <row r="11">
      <c r="A11" s="20" t="s">
        <v>64</v>
      </c>
      <c r="B11" s="20">
        <v>2.0</v>
      </c>
      <c r="C11" s="20" t="s">
        <v>65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</row>
    <row r="12">
      <c r="A12" s="20" t="s">
        <v>66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</row>
    <row r="13">
      <c r="A13" s="20" t="s">
        <v>67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</row>
    <row r="15">
      <c r="A15" s="20" t="s">
        <v>68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</row>
    <row r="16">
      <c r="A16" s="20" t="s">
        <v>69</v>
      </c>
      <c r="B16" s="20" t="s">
        <v>70</v>
      </c>
      <c r="C16" s="20">
        <v>0.0</v>
      </c>
      <c r="D16" s="20">
        <v>0.3</v>
      </c>
      <c r="E16" s="20">
        <v>0.3</v>
      </c>
      <c r="F16" s="20">
        <v>0.3</v>
      </c>
      <c r="G16" s="20">
        <v>0.9</v>
      </c>
      <c r="H16" s="20">
        <v>1.0</v>
      </c>
      <c r="I16" s="20">
        <v>1.0</v>
      </c>
      <c r="J16" s="20">
        <v>1.3</v>
      </c>
      <c r="K16" s="20">
        <v>1.3</v>
      </c>
      <c r="L16" s="20">
        <v>1.2</v>
      </c>
      <c r="M16" s="20">
        <v>1.2</v>
      </c>
      <c r="N16" s="20">
        <v>1.3</v>
      </c>
      <c r="O16" s="20">
        <v>1.3</v>
      </c>
      <c r="P16" s="20">
        <v>1.3</v>
      </c>
      <c r="Q16" s="20">
        <v>1.3</v>
      </c>
      <c r="R16" s="20">
        <v>1.4</v>
      </c>
      <c r="S16" s="20">
        <v>1.3</v>
      </c>
      <c r="T16" s="20">
        <v>1.3</v>
      </c>
      <c r="U16" s="20">
        <v>1.3</v>
      </c>
      <c r="V16" s="20">
        <v>1.9</v>
      </c>
      <c r="W16" s="20">
        <v>1.9</v>
      </c>
      <c r="X16" s="20">
        <v>1.9</v>
      </c>
      <c r="Y16" s="20">
        <v>1.9</v>
      </c>
      <c r="Z16" s="20">
        <v>1.9</v>
      </c>
      <c r="AA16" s="20">
        <v>1.4</v>
      </c>
      <c r="AB16" s="20">
        <v>1.4</v>
      </c>
      <c r="AC16" s="20">
        <v>1.4</v>
      </c>
      <c r="AD16" s="20">
        <v>1.5</v>
      </c>
      <c r="AE16" s="20">
        <v>1.5</v>
      </c>
      <c r="AF16" s="20">
        <v>1.5</v>
      </c>
      <c r="AG16" s="20">
        <v>1.5</v>
      </c>
      <c r="AH16" s="20">
        <v>1.7</v>
      </c>
      <c r="AI16" s="20">
        <v>1.7</v>
      </c>
      <c r="AJ16" s="20">
        <v>1.7</v>
      </c>
      <c r="AK16" s="20">
        <v>1.8</v>
      </c>
      <c r="AL16" s="20">
        <v>1.9</v>
      </c>
      <c r="AM16" s="20">
        <v>2.1</v>
      </c>
      <c r="AN16" s="20">
        <v>2.6</v>
      </c>
      <c r="AO16" s="20">
        <v>2.6</v>
      </c>
      <c r="AP16" s="20">
        <v>2.6</v>
      </c>
      <c r="AQ16" s="20">
        <v>2.6</v>
      </c>
      <c r="AR16" s="20">
        <v>2.6</v>
      </c>
      <c r="AS16" s="20">
        <v>2.6</v>
      </c>
      <c r="AT16" s="20">
        <v>2.6</v>
      </c>
      <c r="AU16" s="20">
        <v>2.6</v>
      </c>
      <c r="AV16" s="20">
        <v>2.6</v>
      </c>
      <c r="AW16" s="20">
        <v>3.3</v>
      </c>
      <c r="AX16" s="20">
        <v>3.3</v>
      </c>
      <c r="AY16" s="20">
        <v>2.1</v>
      </c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</row>
    <row r="17">
      <c r="A17" s="20" t="s">
        <v>71</v>
      </c>
      <c r="B17" s="20" t="s">
        <v>72</v>
      </c>
      <c r="C17" s="20">
        <v>0.0</v>
      </c>
      <c r="D17" s="20">
        <v>0.3</v>
      </c>
      <c r="E17" s="20">
        <v>0.3</v>
      </c>
      <c r="F17" s="20">
        <v>0.3</v>
      </c>
      <c r="G17" s="20">
        <v>0.3</v>
      </c>
      <c r="H17" s="20">
        <v>0.3</v>
      </c>
      <c r="I17" s="20">
        <v>1.0</v>
      </c>
      <c r="J17" s="20">
        <v>1.5</v>
      </c>
      <c r="K17" s="20">
        <v>1.5</v>
      </c>
      <c r="L17" s="20">
        <v>1.4</v>
      </c>
      <c r="M17" s="20">
        <v>1.4</v>
      </c>
      <c r="N17" s="20">
        <v>1.4</v>
      </c>
      <c r="O17" s="20">
        <v>1.4</v>
      </c>
      <c r="P17" s="20">
        <v>1.2</v>
      </c>
      <c r="Q17" s="20">
        <v>1.2</v>
      </c>
      <c r="R17" s="20">
        <v>1.3</v>
      </c>
      <c r="S17" s="20">
        <v>2.0</v>
      </c>
      <c r="T17" s="20">
        <v>2.0</v>
      </c>
      <c r="U17" s="20">
        <v>2.0</v>
      </c>
      <c r="V17" s="20">
        <v>2.0</v>
      </c>
      <c r="W17" s="20">
        <v>2.0</v>
      </c>
      <c r="X17" s="20">
        <v>2.0</v>
      </c>
      <c r="Y17" s="20">
        <v>2.0</v>
      </c>
      <c r="Z17" s="20">
        <v>2.0</v>
      </c>
      <c r="AA17" s="20">
        <v>2.0</v>
      </c>
      <c r="AB17" s="20">
        <v>2.0</v>
      </c>
      <c r="AC17" s="20">
        <v>2.0</v>
      </c>
      <c r="AD17" s="20">
        <v>2.0</v>
      </c>
      <c r="AE17" s="20">
        <v>1.8</v>
      </c>
      <c r="AF17" s="20">
        <v>1.8</v>
      </c>
      <c r="AG17" s="20">
        <v>1.7</v>
      </c>
      <c r="AH17" s="20">
        <v>1.7</v>
      </c>
      <c r="AI17" s="20">
        <v>1.7</v>
      </c>
      <c r="AJ17" s="20">
        <v>1.6</v>
      </c>
      <c r="AK17" s="20">
        <v>1.6</v>
      </c>
      <c r="AL17" s="20">
        <v>1.6</v>
      </c>
      <c r="AM17" s="20">
        <v>0.8</v>
      </c>
      <c r="AN17" s="20">
        <v>0.8</v>
      </c>
      <c r="AO17" s="20">
        <v>0.8</v>
      </c>
      <c r="AP17" s="20">
        <v>1.8</v>
      </c>
      <c r="AQ17" s="20">
        <v>1.8</v>
      </c>
      <c r="AR17" s="20">
        <v>1.8</v>
      </c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</row>
    <row r="18">
      <c r="A18" s="20" t="s">
        <v>73</v>
      </c>
      <c r="B18" s="20" t="s">
        <v>74</v>
      </c>
      <c r="C18" s="20">
        <v>0.0</v>
      </c>
      <c r="D18" s="20">
        <v>0.2</v>
      </c>
      <c r="E18" s="20">
        <v>0.4</v>
      </c>
      <c r="F18" s="20">
        <v>0.4</v>
      </c>
      <c r="G18" s="20">
        <v>0.4</v>
      </c>
      <c r="H18" s="20">
        <v>1.1</v>
      </c>
      <c r="I18" s="20">
        <v>1.1</v>
      </c>
      <c r="J18" s="20">
        <v>1.2</v>
      </c>
      <c r="K18" s="20">
        <v>1.4</v>
      </c>
      <c r="L18" s="20">
        <v>1.4</v>
      </c>
      <c r="M18" s="20">
        <v>1.4</v>
      </c>
      <c r="N18" s="20">
        <v>1.4</v>
      </c>
      <c r="O18" s="20">
        <v>1.2</v>
      </c>
      <c r="P18" s="20">
        <v>1.2</v>
      </c>
      <c r="Q18" s="20">
        <v>1.2</v>
      </c>
      <c r="R18" s="20">
        <v>1.2</v>
      </c>
      <c r="S18" s="20">
        <v>1.4</v>
      </c>
      <c r="T18" s="20">
        <v>1.4</v>
      </c>
      <c r="U18" s="20">
        <v>1.5</v>
      </c>
      <c r="V18" s="20">
        <v>1.7</v>
      </c>
      <c r="W18" s="20">
        <v>1.8</v>
      </c>
      <c r="X18" s="20">
        <v>2.0</v>
      </c>
      <c r="Y18" s="20">
        <v>2.0</v>
      </c>
      <c r="Z18" s="20">
        <v>2.0</v>
      </c>
      <c r="AA18" s="20">
        <v>2.0</v>
      </c>
      <c r="AB18" s="20">
        <v>2.0</v>
      </c>
      <c r="AC18" s="20">
        <v>2.2</v>
      </c>
      <c r="AD18" s="20">
        <v>2.2</v>
      </c>
      <c r="AE18" s="20">
        <v>2.2</v>
      </c>
      <c r="AF18" s="20">
        <v>2.2</v>
      </c>
      <c r="AG18" s="20">
        <v>2.2</v>
      </c>
      <c r="AH18" s="20">
        <v>2.2</v>
      </c>
      <c r="AI18" s="20">
        <v>2.2</v>
      </c>
      <c r="AJ18" s="20">
        <v>2.2</v>
      </c>
      <c r="AK18" s="20">
        <v>2.2</v>
      </c>
      <c r="AL18" s="20">
        <v>2.2</v>
      </c>
      <c r="AM18" s="20">
        <v>2.2</v>
      </c>
      <c r="AN18" s="20">
        <v>2.3</v>
      </c>
      <c r="AO18" s="20">
        <v>2.4</v>
      </c>
      <c r="AP18" s="20">
        <v>2.4</v>
      </c>
      <c r="AQ18" s="20">
        <v>2.5</v>
      </c>
      <c r="AR18" s="20">
        <v>2.5</v>
      </c>
      <c r="AS18" s="20">
        <v>2.5</v>
      </c>
      <c r="AT18" s="20">
        <v>2.8</v>
      </c>
      <c r="AU18" s="20">
        <v>2.8</v>
      </c>
      <c r="AV18" s="20">
        <v>3.1</v>
      </c>
      <c r="AW18" s="20">
        <v>3.1</v>
      </c>
      <c r="AX18" s="20">
        <v>3.1</v>
      </c>
      <c r="AY18" s="20">
        <v>3.0</v>
      </c>
      <c r="AZ18" s="20">
        <v>3.7</v>
      </c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</row>
    <row r="19">
      <c r="A19" s="20" t="s">
        <v>75</v>
      </c>
      <c r="B19" s="20" t="s">
        <v>76</v>
      </c>
      <c r="C19" s="20">
        <v>0.0</v>
      </c>
      <c r="D19" s="20">
        <v>0.4</v>
      </c>
      <c r="E19" s="20">
        <v>1.2</v>
      </c>
      <c r="F19" s="20">
        <v>1.4</v>
      </c>
      <c r="G19" s="20">
        <v>1.6</v>
      </c>
      <c r="H19" s="20">
        <v>2.2</v>
      </c>
      <c r="I19" s="20">
        <v>2.2</v>
      </c>
      <c r="J19" s="20">
        <v>2.2</v>
      </c>
      <c r="K19" s="20">
        <v>2.2</v>
      </c>
      <c r="L19" s="20">
        <v>2.2</v>
      </c>
      <c r="M19" s="20">
        <v>2.2</v>
      </c>
      <c r="N19" s="20">
        <v>2.2</v>
      </c>
      <c r="O19" s="20">
        <v>2.2</v>
      </c>
      <c r="P19" s="20">
        <v>2.2</v>
      </c>
      <c r="Q19" s="20">
        <v>2.2</v>
      </c>
      <c r="R19" s="20">
        <v>2.2</v>
      </c>
      <c r="S19" s="20">
        <v>2.2</v>
      </c>
      <c r="T19" s="20">
        <v>2.2</v>
      </c>
      <c r="U19" s="20">
        <v>2.4</v>
      </c>
      <c r="V19" s="20">
        <v>2.5</v>
      </c>
      <c r="W19" s="20">
        <v>2.5</v>
      </c>
      <c r="X19" s="20">
        <v>2.5</v>
      </c>
      <c r="Y19" s="20">
        <v>2.5</v>
      </c>
      <c r="Z19" s="20">
        <v>2.5</v>
      </c>
      <c r="AA19" s="20">
        <v>2.6</v>
      </c>
      <c r="AB19" s="20">
        <v>2.7</v>
      </c>
      <c r="AC19" s="20">
        <v>3.1</v>
      </c>
      <c r="AD19" s="20">
        <v>3.2</v>
      </c>
      <c r="AE19" s="20">
        <v>3.1</v>
      </c>
      <c r="AF19" s="20">
        <v>1.6</v>
      </c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</row>
    <row r="20">
      <c r="A20" s="20" t="s">
        <v>77</v>
      </c>
      <c r="B20" s="20" t="s">
        <v>78</v>
      </c>
      <c r="C20" s="20">
        <v>0.0</v>
      </c>
      <c r="D20" s="20">
        <v>0.5</v>
      </c>
      <c r="E20" s="20">
        <v>0.5</v>
      </c>
      <c r="F20" s="20">
        <v>0.8</v>
      </c>
      <c r="G20" s="20">
        <v>1.1</v>
      </c>
      <c r="H20" s="20">
        <v>1.1</v>
      </c>
      <c r="I20" s="20">
        <v>1.4</v>
      </c>
      <c r="J20" s="20">
        <v>1.5</v>
      </c>
      <c r="K20" s="20">
        <v>1.5</v>
      </c>
      <c r="L20" s="20">
        <v>1.5</v>
      </c>
      <c r="M20" s="20">
        <v>1.5</v>
      </c>
      <c r="N20" s="20">
        <v>1.4</v>
      </c>
      <c r="O20" s="20">
        <v>1.4</v>
      </c>
      <c r="P20" s="20">
        <v>1.4</v>
      </c>
      <c r="Q20" s="20">
        <v>1.4</v>
      </c>
      <c r="R20" s="20">
        <v>1.3</v>
      </c>
      <c r="S20" s="20">
        <v>1.3</v>
      </c>
      <c r="T20" s="20">
        <v>1.3</v>
      </c>
      <c r="U20" s="20">
        <v>1.3</v>
      </c>
      <c r="V20" s="20">
        <v>1.2</v>
      </c>
      <c r="W20" s="20">
        <v>1.2</v>
      </c>
      <c r="X20" s="20">
        <v>1.2</v>
      </c>
      <c r="Y20" s="20">
        <v>1.1</v>
      </c>
      <c r="Z20" s="20">
        <v>1.4</v>
      </c>
      <c r="AA20" s="20">
        <v>1.6</v>
      </c>
      <c r="AB20" s="20">
        <v>1.6</v>
      </c>
      <c r="AC20" s="20">
        <v>1.6</v>
      </c>
      <c r="AD20" s="20">
        <v>1.6</v>
      </c>
      <c r="AE20" s="20">
        <v>1.6</v>
      </c>
      <c r="AF20" s="20">
        <v>1.6</v>
      </c>
      <c r="AG20" s="20">
        <v>1.8</v>
      </c>
      <c r="AH20" s="20">
        <v>2.2</v>
      </c>
      <c r="AI20" s="20">
        <v>2.4</v>
      </c>
      <c r="AJ20" s="20">
        <v>1.9</v>
      </c>
      <c r="AK20" s="20">
        <v>2.5</v>
      </c>
      <c r="AL20" s="20">
        <v>2.5</v>
      </c>
      <c r="AM20" s="20">
        <v>2.8</v>
      </c>
      <c r="AN20" s="20">
        <v>2.8</v>
      </c>
      <c r="AO20" s="20">
        <v>2.8</v>
      </c>
      <c r="AP20" s="20">
        <v>2.6</v>
      </c>
      <c r="AQ20" s="20">
        <v>2.8</v>
      </c>
      <c r="AR20" s="20">
        <v>2.8</v>
      </c>
      <c r="AS20" s="20">
        <v>3.7</v>
      </c>
      <c r="AT20" s="20">
        <v>3.8</v>
      </c>
      <c r="AU20" s="20">
        <v>3.8</v>
      </c>
      <c r="AV20" s="20">
        <v>3.8</v>
      </c>
      <c r="AW20" s="20">
        <v>3.8</v>
      </c>
      <c r="AX20" s="20">
        <v>3.9</v>
      </c>
      <c r="AY20" s="20">
        <v>2.9</v>
      </c>
      <c r="AZ20" s="20">
        <v>2.9</v>
      </c>
      <c r="BA20" s="20">
        <v>2.9</v>
      </c>
      <c r="BB20" s="20">
        <v>2.1</v>
      </c>
      <c r="BC20" s="20">
        <v>3.6</v>
      </c>
      <c r="BD20" s="20">
        <v>3.6</v>
      </c>
      <c r="BE20" s="20">
        <v>3.0</v>
      </c>
      <c r="BF20" s="20">
        <v>4.1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</row>
    <row r="21" ht="15.75" customHeight="1">
      <c r="A21" s="20" t="s">
        <v>79</v>
      </c>
      <c r="B21" s="20" t="s">
        <v>80</v>
      </c>
      <c r="C21" s="20">
        <v>0.0</v>
      </c>
      <c r="D21" s="20">
        <v>0.3</v>
      </c>
      <c r="E21" s="20">
        <v>0.3</v>
      </c>
      <c r="F21" s="20">
        <v>1.8</v>
      </c>
      <c r="G21" s="20">
        <v>1.8</v>
      </c>
      <c r="H21" s="20">
        <v>1.8</v>
      </c>
      <c r="I21" s="20">
        <v>1.8</v>
      </c>
      <c r="J21" s="20">
        <v>1.8</v>
      </c>
      <c r="K21" s="20">
        <v>1.8</v>
      </c>
      <c r="L21" s="20">
        <v>1.8</v>
      </c>
      <c r="M21" s="20">
        <v>1.8</v>
      </c>
      <c r="N21" s="20">
        <v>1.8</v>
      </c>
      <c r="O21" s="20">
        <v>1.8</v>
      </c>
      <c r="P21" s="20">
        <v>1.8</v>
      </c>
      <c r="Q21" s="20">
        <v>1.8</v>
      </c>
      <c r="R21" s="20">
        <v>1.8</v>
      </c>
      <c r="S21" s="20">
        <v>1.8</v>
      </c>
      <c r="T21" s="20">
        <v>1.8</v>
      </c>
      <c r="U21" s="20">
        <v>1.8</v>
      </c>
      <c r="V21" s="20">
        <v>1.8</v>
      </c>
      <c r="W21" s="20">
        <v>1.8</v>
      </c>
      <c r="X21" s="20">
        <v>1.8</v>
      </c>
      <c r="Y21" s="20">
        <v>1.8</v>
      </c>
      <c r="Z21" s="20">
        <v>1.8</v>
      </c>
      <c r="AA21" s="20">
        <v>1.8</v>
      </c>
      <c r="AB21" s="20">
        <v>1.8</v>
      </c>
      <c r="AC21" s="20">
        <v>1.8</v>
      </c>
      <c r="AD21" s="20">
        <v>1.8</v>
      </c>
      <c r="AE21" s="20">
        <v>1.8</v>
      </c>
      <c r="AF21" s="20">
        <v>1.8</v>
      </c>
      <c r="AG21" s="20">
        <v>1.8</v>
      </c>
      <c r="AH21" s="20">
        <v>2.8</v>
      </c>
      <c r="AI21" s="20">
        <v>2.8</v>
      </c>
      <c r="AJ21" s="20">
        <v>3.7</v>
      </c>
      <c r="AK21" s="20">
        <v>3.1</v>
      </c>
      <c r="AL21" s="20">
        <v>3.1</v>
      </c>
      <c r="AM21" s="20">
        <v>3.1</v>
      </c>
      <c r="AN21" s="20">
        <v>4.1</v>
      </c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</row>
    <row r="22" ht="15.75" customHeight="1">
      <c r="A22" s="20" t="s">
        <v>81</v>
      </c>
      <c r="B22" s="20" t="s">
        <v>82</v>
      </c>
      <c r="C22" s="20">
        <v>0.0</v>
      </c>
      <c r="D22" s="20">
        <v>0.4</v>
      </c>
      <c r="E22" s="20">
        <v>1.3</v>
      </c>
      <c r="F22" s="20">
        <v>1.5</v>
      </c>
      <c r="G22" s="20">
        <v>1.5</v>
      </c>
      <c r="H22" s="20">
        <v>1.5</v>
      </c>
      <c r="I22" s="20">
        <v>1.5</v>
      </c>
      <c r="J22" s="20">
        <v>1.6</v>
      </c>
      <c r="K22" s="20">
        <v>1.6</v>
      </c>
      <c r="L22" s="20">
        <v>1.6</v>
      </c>
      <c r="M22" s="20">
        <v>1.6</v>
      </c>
      <c r="N22" s="20">
        <v>1.6</v>
      </c>
      <c r="O22" s="20">
        <v>1.6</v>
      </c>
      <c r="P22" s="20">
        <v>1.6</v>
      </c>
      <c r="Q22" s="20">
        <v>1.6</v>
      </c>
      <c r="R22" s="20">
        <v>1.6</v>
      </c>
      <c r="S22" s="20">
        <v>1.7</v>
      </c>
      <c r="T22" s="20">
        <v>1.6</v>
      </c>
      <c r="U22" s="20">
        <v>1.6</v>
      </c>
      <c r="V22" s="20">
        <v>1.6</v>
      </c>
      <c r="W22" s="20">
        <v>1.6</v>
      </c>
      <c r="X22" s="20">
        <v>1.6</v>
      </c>
      <c r="Y22" s="20">
        <v>1.7</v>
      </c>
      <c r="Z22" s="20">
        <v>1.7</v>
      </c>
      <c r="AA22" s="20">
        <v>1.7</v>
      </c>
      <c r="AB22" s="20">
        <v>1.8</v>
      </c>
      <c r="AC22" s="20">
        <v>1.9</v>
      </c>
      <c r="AD22" s="20">
        <v>2.2</v>
      </c>
      <c r="AE22" s="20">
        <v>2.2</v>
      </c>
      <c r="AF22" s="20">
        <v>2.2</v>
      </c>
      <c r="AG22" s="20">
        <v>2.4</v>
      </c>
      <c r="AH22" s="20">
        <v>1.8</v>
      </c>
      <c r="AI22" s="20">
        <v>3.0</v>
      </c>
      <c r="AJ22" s="20">
        <v>3.0</v>
      </c>
      <c r="AK22" s="20">
        <v>3.0</v>
      </c>
      <c r="AL22" s="20">
        <v>2.4</v>
      </c>
      <c r="AM22" s="20">
        <v>2.6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</row>
    <row r="23" ht="15.75" customHeight="1">
      <c r="A23" s="20" t="s">
        <v>83</v>
      </c>
      <c r="B23" s="20" t="s">
        <v>84</v>
      </c>
      <c r="C23" s="20">
        <v>0.0</v>
      </c>
      <c r="D23" s="20">
        <v>0.3</v>
      </c>
      <c r="E23" s="20">
        <v>0.3</v>
      </c>
      <c r="F23" s="20">
        <v>0.3</v>
      </c>
      <c r="G23" s="20">
        <v>0.3</v>
      </c>
      <c r="H23" s="20">
        <v>1.3</v>
      </c>
      <c r="I23" s="20">
        <v>1.3</v>
      </c>
      <c r="J23" s="20">
        <v>1.3</v>
      </c>
      <c r="K23" s="20">
        <v>1.3</v>
      </c>
      <c r="L23" s="20">
        <v>2.3</v>
      </c>
      <c r="M23" s="20">
        <v>2.1</v>
      </c>
      <c r="N23" s="20">
        <v>2.1</v>
      </c>
      <c r="O23" s="20">
        <v>2.1</v>
      </c>
      <c r="P23" s="20">
        <v>1.6</v>
      </c>
      <c r="Q23" s="20">
        <v>1.6</v>
      </c>
      <c r="R23" s="20">
        <v>1.6</v>
      </c>
      <c r="S23" s="20">
        <v>1.6</v>
      </c>
      <c r="T23" s="20">
        <v>1.6</v>
      </c>
      <c r="U23" s="20">
        <v>1.6</v>
      </c>
      <c r="V23" s="20">
        <v>1.6</v>
      </c>
      <c r="W23" s="20">
        <v>1.6</v>
      </c>
      <c r="X23" s="20">
        <v>1.6</v>
      </c>
      <c r="Y23" s="20">
        <v>1.6</v>
      </c>
      <c r="Z23" s="20">
        <v>1.6</v>
      </c>
      <c r="AA23" s="20">
        <v>1.6</v>
      </c>
      <c r="AB23" s="20">
        <v>1.6</v>
      </c>
      <c r="AC23" s="20">
        <v>1.6</v>
      </c>
      <c r="AD23" s="20">
        <v>1.6</v>
      </c>
      <c r="AE23" s="20">
        <v>1.6</v>
      </c>
      <c r="AF23" s="20">
        <v>1.6</v>
      </c>
      <c r="AG23" s="20">
        <v>1.6</v>
      </c>
      <c r="AH23" s="20">
        <v>1.6</v>
      </c>
      <c r="AI23" s="20">
        <v>1.6</v>
      </c>
      <c r="AJ23" s="20">
        <v>1.6</v>
      </c>
      <c r="AK23" s="20">
        <v>1.8</v>
      </c>
      <c r="AL23" s="20">
        <v>1.8</v>
      </c>
      <c r="AM23" s="20">
        <v>1.8</v>
      </c>
      <c r="AN23" s="20">
        <v>1.8</v>
      </c>
      <c r="AO23" s="20">
        <v>1.8</v>
      </c>
      <c r="AP23" s="20">
        <v>1.7</v>
      </c>
      <c r="AQ23" s="20">
        <v>2.0</v>
      </c>
      <c r="AR23" s="20">
        <v>2.0</v>
      </c>
      <c r="AS23" s="20">
        <v>2.8</v>
      </c>
      <c r="AT23" s="20">
        <v>2.8</v>
      </c>
      <c r="AU23" s="20">
        <v>2.8</v>
      </c>
      <c r="AV23" s="20">
        <v>2.8</v>
      </c>
      <c r="AW23" s="20">
        <v>2.6</v>
      </c>
      <c r="AX23" s="20">
        <v>2.6</v>
      </c>
      <c r="AY23" s="20">
        <v>2.6</v>
      </c>
      <c r="AZ23" s="20">
        <v>2.6</v>
      </c>
      <c r="BA23" s="20">
        <v>1.8</v>
      </c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</row>
    <row r="24" ht="15.75" customHeight="1">
      <c r="A24" s="20" t="s">
        <v>85</v>
      </c>
      <c r="B24" s="20" t="s">
        <v>86</v>
      </c>
      <c r="C24" s="20">
        <v>0.0</v>
      </c>
      <c r="D24" s="20">
        <v>0.3</v>
      </c>
      <c r="E24" s="20">
        <v>0.8</v>
      </c>
      <c r="F24" s="20">
        <v>1.4</v>
      </c>
      <c r="G24" s="20">
        <v>1.4</v>
      </c>
      <c r="H24" s="20">
        <v>1.7</v>
      </c>
      <c r="I24" s="20">
        <v>1.7</v>
      </c>
      <c r="J24" s="20">
        <v>1.8</v>
      </c>
      <c r="K24" s="20">
        <v>1.8</v>
      </c>
      <c r="L24" s="20">
        <v>1.9</v>
      </c>
      <c r="M24" s="20">
        <v>1.9</v>
      </c>
      <c r="N24" s="20">
        <v>2.0</v>
      </c>
      <c r="O24" s="20">
        <v>2.0</v>
      </c>
      <c r="P24" s="20">
        <v>2.0</v>
      </c>
      <c r="Q24" s="20">
        <v>2.1</v>
      </c>
      <c r="R24" s="20">
        <v>2.2</v>
      </c>
      <c r="S24" s="20">
        <v>2.2</v>
      </c>
      <c r="T24" s="20">
        <v>2.2</v>
      </c>
      <c r="U24" s="20">
        <v>2.2</v>
      </c>
      <c r="V24" s="20">
        <v>2.2</v>
      </c>
      <c r="W24" s="20">
        <v>2.2</v>
      </c>
      <c r="X24" s="20">
        <v>2.2</v>
      </c>
      <c r="Y24" s="20">
        <v>2.3</v>
      </c>
      <c r="Z24" s="20">
        <v>2.3</v>
      </c>
      <c r="AA24" s="20">
        <v>2.4</v>
      </c>
      <c r="AB24" s="20">
        <v>2.6</v>
      </c>
      <c r="AC24" s="20">
        <v>2.7</v>
      </c>
      <c r="AD24" s="20">
        <v>2.7</v>
      </c>
      <c r="AE24" s="20">
        <v>2.9</v>
      </c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</row>
    <row r="25" ht="15.75" customHeight="1">
      <c r="A25" s="20" t="s">
        <v>87</v>
      </c>
      <c r="B25" s="20" t="s">
        <v>88</v>
      </c>
      <c r="C25" s="20">
        <v>0.0</v>
      </c>
      <c r="D25" s="20">
        <v>0.3</v>
      </c>
      <c r="E25" s="20">
        <v>0.3</v>
      </c>
      <c r="F25" s="20">
        <v>0.3</v>
      </c>
      <c r="G25" s="20">
        <v>0.3</v>
      </c>
      <c r="H25" s="20">
        <v>0.3</v>
      </c>
      <c r="I25" s="20">
        <v>0.3</v>
      </c>
      <c r="J25" s="20">
        <v>0.5</v>
      </c>
      <c r="K25" s="20">
        <v>1.1</v>
      </c>
      <c r="L25" s="20">
        <v>2.1</v>
      </c>
      <c r="M25" s="20">
        <v>2.1</v>
      </c>
      <c r="N25" s="20">
        <v>2.0</v>
      </c>
      <c r="O25" s="20">
        <v>2.0</v>
      </c>
      <c r="P25" s="20">
        <v>2.4</v>
      </c>
      <c r="Q25" s="20">
        <v>2.4</v>
      </c>
      <c r="R25" s="20">
        <v>2.5</v>
      </c>
      <c r="S25" s="20">
        <v>2.5</v>
      </c>
      <c r="T25" s="20">
        <v>2.5</v>
      </c>
      <c r="U25" s="20">
        <v>2.3</v>
      </c>
      <c r="V25" s="20">
        <v>2.1</v>
      </c>
      <c r="W25" s="20">
        <v>2.5</v>
      </c>
      <c r="X25" s="20">
        <v>2.5</v>
      </c>
      <c r="Y25" s="20">
        <v>2.5</v>
      </c>
      <c r="Z25" s="20">
        <v>2.4</v>
      </c>
      <c r="AA25" s="20">
        <v>2.4</v>
      </c>
      <c r="AB25" s="20">
        <v>1.8</v>
      </c>
      <c r="AC25" s="20">
        <v>0.8</v>
      </c>
      <c r="AD25" s="20">
        <v>2.5</v>
      </c>
      <c r="AE25" s="20">
        <v>3.8</v>
      </c>
      <c r="AF25" s="20">
        <v>3.8</v>
      </c>
      <c r="AG25" s="20">
        <v>3.8</v>
      </c>
      <c r="AH25" s="20">
        <v>3.1</v>
      </c>
      <c r="AI25" s="20">
        <v>3.1</v>
      </c>
      <c r="AJ25" s="20">
        <v>2.9</v>
      </c>
      <c r="AK25" s="20">
        <v>2.9</v>
      </c>
      <c r="AL25" s="20">
        <v>3.3</v>
      </c>
      <c r="AM25" s="20">
        <v>3.3</v>
      </c>
      <c r="AN25" s="20">
        <v>2.6</v>
      </c>
      <c r="AO25" s="20">
        <v>2.6</v>
      </c>
      <c r="AP25" s="20">
        <v>2.9</v>
      </c>
      <c r="AQ25" s="20">
        <v>3.4</v>
      </c>
      <c r="AR25" s="20">
        <v>3.4</v>
      </c>
      <c r="AS25" s="20">
        <v>4.0</v>
      </c>
      <c r="AT25" s="20">
        <v>4.0</v>
      </c>
      <c r="AU25" s="20">
        <v>3.1</v>
      </c>
      <c r="AV25" s="20">
        <v>2.7</v>
      </c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</row>
    <row r="26" ht="15.75" customHeight="1">
      <c r="A26" s="20" t="s">
        <v>89</v>
      </c>
      <c r="B26" s="20" t="s">
        <v>90</v>
      </c>
      <c r="C26" s="20">
        <v>0.0</v>
      </c>
      <c r="D26" s="20">
        <v>0.3</v>
      </c>
      <c r="E26" s="20">
        <v>0.3</v>
      </c>
      <c r="F26" s="20">
        <v>1.3</v>
      </c>
      <c r="G26" s="20">
        <v>1.3</v>
      </c>
      <c r="H26" s="20">
        <v>1.4</v>
      </c>
      <c r="I26" s="20">
        <v>1.4</v>
      </c>
      <c r="J26" s="20">
        <v>1.4</v>
      </c>
      <c r="K26" s="20">
        <v>1.5</v>
      </c>
      <c r="L26" s="20">
        <v>1.6</v>
      </c>
      <c r="M26" s="20">
        <v>1.8</v>
      </c>
      <c r="N26" s="20">
        <v>1.9</v>
      </c>
      <c r="O26" s="20">
        <v>2.0</v>
      </c>
      <c r="P26" s="20">
        <v>2.0</v>
      </c>
      <c r="Q26" s="20">
        <v>1.9</v>
      </c>
      <c r="R26" s="20">
        <v>1.9</v>
      </c>
      <c r="S26" s="20">
        <v>1.8</v>
      </c>
      <c r="T26" s="20">
        <v>1.8</v>
      </c>
      <c r="U26" s="20">
        <v>1.8</v>
      </c>
      <c r="V26" s="20">
        <v>1.8</v>
      </c>
      <c r="W26" s="20">
        <v>1.8</v>
      </c>
      <c r="X26" s="20">
        <v>2.0</v>
      </c>
      <c r="Y26" s="20">
        <v>1.9</v>
      </c>
      <c r="Z26" s="20">
        <v>1.9</v>
      </c>
      <c r="AA26" s="20">
        <v>2.3</v>
      </c>
      <c r="AB26" s="20">
        <v>2.3</v>
      </c>
      <c r="AC26" s="20">
        <v>2.3</v>
      </c>
      <c r="AD26" s="20">
        <v>2.3</v>
      </c>
      <c r="AE26" s="20">
        <v>2.3</v>
      </c>
      <c r="AF26" s="20">
        <v>2.6</v>
      </c>
      <c r="AG26" s="20">
        <v>2.8</v>
      </c>
      <c r="AH26" s="20">
        <v>3.2</v>
      </c>
      <c r="AI26" s="20">
        <v>3.5</v>
      </c>
      <c r="AJ26" s="20">
        <v>2.2</v>
      </c>
      <c r="AK26" s="20">
        <v>4.0</v>
      </c>
      <c r="AL26" s="20">
        <v>4.0</v>
      </c>
      <c r="AM26" s="20">
        <v>4.1</v>
      </c>
      <c r="AN26" s="20">
        <v>3.0</v>
      </c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</row>
    <row r="27" ht="15.75" customHeight="1">
      <c r="A27" s="20" t="s">
        <v>91</v>
      </c>
      <c r="B27" s="20" t="s">
        <v>92</v>
      </c>
      <c r="C27" s="20">
        <v>0.0</v>
      </c>
      <c r="D27" s="20">
        <v>0.3</v>
      </c>
      <c r="E27" s="20">
        <v>1.4</v>
      </c>
      <c r="F27" s="20">
        <v>1.4</v>
      </c>
      <c r="G27" s="20">
        <v>1.4</v>
      </c>
      <c r="H27" s="20">
        <v>2.0</v>
      </c>
      <c r="I27" s="20">
        <v>2.0</v>
      </c>
      <c r="J27" s="20">
        <v>2.3</v>
      </c>
      <c r="K27" s="20">
        <v>2.3</v>
      </c>
      <c r="L27" s="20">
        <v>2.3</v>
      </c>
      <c r="M27" s="20">
        <v>2.3</v>
      </c>
      <c r="N27" s="20">
        <v>2.8</v>
      </c>
      <c r="O27" s="20">
        <v>2.8</v>
      </c>
      <c r="P27" s="20">
        <v>2.8</v>
      </c>
      <c r="Q27" s="20">
        <v>2.8</v>
      </c>
      <c r="R27" s="20">
        <v>2.6</v>
      </c>
      <c r="S27" s="20">
        <v>2.4</v>
      </c>
      <c r="T27" s="20">
        <v>2.4</v>
      </c>
      <c r="U27" s="20">
        <v>2.4</v>
      </c>
      <c r="V27" s="20">
        <v>2.4</v>
      </c>
      <c r="W27" s="20">
        <v>2.4</v>
      </c>
      <c r="X27" s="20">
        <v>2.4</v>
      </c>
      <c r="Y27" s="20">
        <v>2.6</v>
      </c>
      <c r="Z27" s="20">
        <v>2.6</v>
      </c>
      <c r="AA27" s="20">
        <v>2.6</v>
      </c>
      <c r="AB27" s="20">
        <v>2.6</v>
      </c>
      <c r="AC27" s="20">
        <v>1.8</v>
      </c>
      <c r="AD27" s="20">
        <v>3.5</v>
      </c>
      <c r="AE27" s="20">
        <v>3.7</v>
      </c>
      <c r="AF27" s="20">
        <v>3.7</v>
      </c>
      <c r="AG27" s="20">
        <v>3.7</v>
      </c>
      <c r="AH27" s="20">
        <v>3.7</v>
      </c>
      <c r="AI27" s="20">
        <v>3.7</v>
      </c>
      <c r="AJ27" s="20">
        <v>3.7</v>
      </c>
      <c r="AK27" s="20">
        <v>3.7</v>
      </c>
      <c r="AL27" s="20">
        <v>3.7</v>
      </c>
      <c r="AM27" s="20">
        <v>3.7</v>
      </c>
      <c r="AN27" s="20">
        <v>3.7</v>
      </c>
      <c r="AO27" s="20">
        <v>3.7</v>
      </c>
      <c r="AP27" s="20">
        <v>3.7</v>
      </c>
      <c r="AQ27" s="20">
        <v>3.6</v>
      </c>
      <c r="AR27" s="20">
        <v>3.9</v>
      </c>
      <c r="AS27" s="20">
        <v>2.8</v>
      </c>
      <c r="AT27" s="20">
        <v>2.8</v>
      </c>
      <c r="AU27" s="20">
        <v>2.7</v>
      </c>
      <c r="AV27" s="20">
        <v>1.4</v>
      </c>
      <c r="AW27" s="20">
        <v>1.4</v>
      </c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</row>
    <row r="28" ht="15.75" customHeight="1">
      <c r="A28" s="20" t="s">
        <v>93</v>
      </c>
      <c r="B28" s="20" t="s">
        <v>94</v>
      </c>
      <c r="C28" s="20">
        <v>0.0</v>
      </c>
      <c r="D28" s="20">
        <v>1.3</v>
      </c>
      <c r="E28" s="20">
        <v>1.3</v>
      </c>
      <c r="F28" s="20">
        <v>1.3</v>
      </c>
      <c r="G28" s="20">
        <v>1.3</v>
      </c>
      <c r="H28" s="20">
        <v>1.3</v>
      </c>
      <c r="I28" s="20">
        <v>1.3</v>
      </c>
      <c r="J28" s="20">
        <v>1.7</v>
      </c>
      <c r="K28" s="20">
        <v>1.7</v>
      </c>
      <c r="L28" s="20">
        <v>1.7</v>
      </c>
      <c r="M28" s="20">
        <v>1.7</v>
      </c>
      <c r="N28" s="20">
        <v>1.6</v>
      </c>
      <c r="O28" s="20">
        <v>1.6</v>
      </c>
      <c r="P28" s="20">
        <v>1.7</v>
      </c>
      <c r="Q28" s="20">
        <v>1.8</v>
      </c>
      <c r="R28" s="20">
        <v>1.8</v>
      </c>
      <c r="S28" s="20">
        <v>1.8</v>
      </c>
      <c r="T28" s="20">
        <v>1.8</v>
      </c>
      <c r="U28" s="20">
        <v>1.8</v>
      </c>
      <c r="V28" s="20">
        <v>1.8</v>
      </c>
      <c r="W28" s="20">
        <v>1.7</v>
      </c>
      <c r="X28" s="20">
        <v>1.7</v>
      </c>
      <c r="Y28" s="20">
        <v>1.6</v>
      </c>
      <c r="Z28" s="20">
        <v>1.4</v>
      </c>
      <c r="AA28" s="20">
        <v>1.5</v>
      </c>
      <c r="AB28" s="20">
        <v>1.5</v>
      </c>
      <c r="AC28" s="20">
        <v>1.6</v>
      </c>
      <c r="AD28" s="20">
        <v>1.6</v>
      </c>
      <c r="AE28" s="20">
        <v>1.6</v>
      </c>
      <c r="AF28" s="20">
        <v>1.7</v>
      </c>
      <c r="AG28" s="20">
        <v>1.8</v>
      </c>
      <c r="AH28" s="20">
        <v>1.7</v>
      </c>
      <c r="AI28" s="20">
        <v>1.8</v>
      </c>
      <c r="AJ28" s="20">
        <v>1.8</v>
      </c>
      <c r="AK28" s="20">
        <v>2.1</v>
      </c>
      <c r="AL28" s="20">
        <v>2.2</v>
      </c>
      <c r="AM28" s="20">
        <v>2.2</v>
      </c>
      <c r="AN28" s="20">
        <v>3.2</v>
      </c>
      <c r="AO28" s="20">
        <v>2.9</v>
      </c>
      <c r="AP28" s="20">
        <v>3.1</v>
      </c>
      <c r="AQ28" s="20">
        <v>3.1</v>
      </c>
      <c r="AR28" s="20">
        <v>3.0</v>
      </c>
      <c r="AS28" s="20">
        <v>3.0</v>
      </c>
      <c r="AT28" s="20">
        <v>2.8</v>
      </c>
      <c r="AU28" s="20">
        <v>2.8</v>
      </c>
      <c r="AV28" s="20">
        <v>2.9</v>
      </c>
      <c r="AW28" s="20">
        <v>3.0</v>
      </c>
      <c r="AX28" s="20">
        <v>3.0</v>
      </c>
      <c r="AY28" s="20">
        <v>3.2</v>
      </c>
      <c r="AZ28" s="20">
        <v>3.3</v>
      </c>
      <c r="BA28" s="20">
        <v>3.5</v>
      </c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</row>
    <row r="29" ht="15.75" customHeight="1">
      <c r="A29" s="20" t="s">
        <v>95</v>
      </c>
      <c r="B29" s="20" t="s">
        <v>96</v>
      </c>
      <c r="C29" s="20">
        <v>0.0</v>
      </c>
      <c r="D29" s="20">
        <v>0.3</v>
      </c>
      <c r="E29" s="20">
        <v>0.5</v>
      </c>
      <c r="F29" s="20">
        <v>1.0</v>
      </c>
      <c r="G29" s="20">
        <v>1.8</v>
      </c>
      <c r="H29" s="20">
        <v>1.8</v>
      </c>
      <c r="I29" s="20">
        <v>1.8</v>
      </c>
      <c r="J29" s="20">
        <v>1.8</v>
      </c>
      <c r="K29" s="20">
        <v>2.0</v>
      </c>
      <c r="L29" s="20">
        <v>2.0</v>
      </c>
      <c r="M29" s="20">
        <v>2.0</v>
      </c>
      <c r="N29" s="20">
        <v>2.0</v>
      </c>
      <c r="O29" s="20">
        <v>2.0</v>
      </c>
      <c r="P29" s="20">
        <v>2.0</v>
      </c>
      <c r="Q29" s="20">
        <v>2.0</v>
      </c>
      <c r="R29" s="20">
        <v>2.0</v>
      </c>
      <c r="S29" s="20">
        <v>2.0</v>
      </c>
      <c r="T29" s="20">
        <v>2.0</v>
      </c>
      <c r="U29" s="20">
        <v>2.0</v>
      </c>
      <c r="V29" s="20">
        <v>2.0</v>
      </c>
      <c r="W29" s="20">
        <v>2.0</v>
      </c>
      <c r="X29" s="20">
        <v>2.0</v>
      </c>
      <c r="Y29" s="20">
        <v>2.0</v>
      </c>
      <c r="Z29" s="20">
        <v>2.3</v>
      </c>
      <c r="AA29" s="20">
        <v>2.2</v>
      </c>
      <c r="AB29" s="20">
        <v>2.2</v>
      </c>
      <c r="AC29" s="20">
        <v>2.2</v>
      </c>
      <c r="AD29" s="20">
        <v>2.2</v>
      </c>
      <c r="AE29" s="20">
        <v>2.0</v>
      </c>
      <c r="AF29" s="20">
        <v>2.0</v>
      </c>
      <c r="AG29" s="20">
        <v>2.0</v>
      </c>
      <c r="AH29" s="20">
        <v>2.2</v>
      </c>
      <c r="AI29" s="20">
        <v>2.2</v>
      </c>
      <c r="AJ29" s="20">
        <v>2.2</v>
      </c>
      <c r="AK29" s="20">
        <v>2.4</v>
      </c>
      <c r="AL29" s="20">
        <v>2.4</v>
      </c>
      <c r="AM29" s="20">
        <v>3.1</v>
      </c>
      <c r="AN29" s="20">
        <v>3.0</v>
      </c>
      <c r="AO29" s="20">
        <v>3.2</v>
      </c>
      <c r="AP29" s="20">
        <v>3.5</v>
      </c>
      <c r="AQ29" s="20">
        <v>3.9</v>
      </c>
      <c r="AR29" s="20">
        <v>3.9</v>
      </c>
      <c r="AS29" s="20">
        <v>3.4</v>
      </c>
      <c r="AT29" s="20">
        <v>3.7</v>
      </c>
      <c r="AU29" s="20">
        <v>3.7</v>
      </c>
      <c r="AV29" s="20">
        <v>3.7</v>
      </c>
      <c r="AW29" s="20">
        <v>3.7</v>
      </c>
      <c r="AX29" s="20">
        <v>3.7</v>
      </c>
      <c r="AY29" s="20">
        <v>3.7</v>
      </c>
      <c r="AZ29" s="20">
        <v>3.6</v>
      </c>
      <c r="BA29" s="20">
        <v>3.4</v>
      </c>
      <c r="BB29" s="20">
        <v>3.6</v>
      </c>
      <c r="BC29" s="20">
        <v>3.4</v>
      </c>
      <c r="BD29" s="20">
        <v>4.3</v>
      </c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</row>
    <row r="30" ht="15.75" customHeight="1">
      <c r="A30" s="20" t="s">
        <v>97</v>
      </c>
      <c r="B30" s="20" t="s">
        <v>98</v>
      </c>
      <c r="C30" s="20">
        <v>0.0</v>
      </c>
      <c r="D30" s="20">
        <v>0.3</v>
      </c>
      <c r="E30" s="20">
        <v>0.3</v>
      </c>
      <c r="F30" s="20">
        <v>1.1</v>
      </c>
      <c r="G30" s="20">
        <v>1.1</v>
      </c>
      <c r="H30" s="20">
        <v>1.1</v>
      </c>
      <c r="I30" s="20">
        <v>1.7</v>
      </c>
      <c r="J30" s="20">
        <v>1.9</v>
      </c>
      <c r="K30" s="20">
        <v>1.9</v>
      </c>
      <c r="L30" s="20">
        <v>1.9</v>
      </c>
      <c r="M30" s="20">
        <v>1.9</v>
      </c>
      <c r="N30" s="20">
        <v>1.9</v>
      </c>
      <c r="O30" s="20">
        <v>1.9</v>
      </c>
      <c r="P30" s="20">
        <v>1.9</v>
      </c>
      <c r="Q30" s="20">
        <v>1.9</v>
      </c>
      <c r="R30" s="20">
        <v>1.9</v>
      </c>
      <c r="S30" s="20">
        <v>1.9</v>
      </c>
      <c r="T30" s="20">
        <v>1.9</v>
      </c>
      <c r="U30" s="20">
        <v>1.9</v>
      </c>
      <c r="V30" s="20">
        <v>1.9</v>
      </c>
      <c r="W30" s="20">
        <v>1.9</v>
      </c>
      <c r="X30" s="20">
        <v>1.2</v>
      </c>
      <c r="Y30" s="20">
        <v>1.2</v>
      </c>
      <c r="Z30" s="20">
        <v>1.2</v>
      </c>
      <c r="AA30" s="20">
        <v>1.2</v>
      </c>
      <c r="AB30" s="20">
        <v>1.2</v>
      </c>
      <c r="AC30" s="20">
        <v>1.4</v>
      </c>
      <c r="AD30" s="20">
        <v>1.4</v>
      </c>
      <c r="AE30" s="20">
        <v>1.4</v>
      </c>
      <c r="AF30" s="20">
        <v>1.4</v>
      </c>
      <c r="AG30" s="20">
        <v>1.3</v>
      </c>
      <c r="AH30" s="20">
        <v>1.5</v>
      </c>
      <c r="AI30" s="20">
        <v>1.5</v>
      </c>
      <c r="AJ30" s="20">
        <v>1.5</v>
      </c>
      <c r="AK30" s="20">
        <v>1.3</v>
      </c>
      <c r="AL30" s="20">
        <v>1.3</v>
      </c>
      <c r="AM30" s="20">
        <v>1.3</v>
      </c>
      <c r="AN30" s="20">
        <v>1.3</v>
      </c>
      <c r="AO30" s="20">
        <v>1.3</v>
      </c>
      <c r="AP30" s="20">
        <v>1.6</v>
      </c>
      <c r="AQ30" s="20">
        <v>1.6</v>
      </c>
      <c r="AR30" s="20">
        <v>1.6</v>
      </c>
      <c r="AS30" s="20">
        <v>1.6</v>
      </c>
      <c r="AT30" s="20">
        <v>1.8</v>
      </c>
      <c r="AU30" s="20">
        <v>1.8</v>
      </c>
      <c r="AV30" s="20">
        <v>1.8</v>
      </c>
      <c r="AW30" s="20">
        <v>1.8</v>
      </c>
      <c r="AX30" s="20">
        <v>3.5</v>
      </c>
      <c r="AY30" s="20">
        <v>3.5</v>
      </c>
      <c r="AZ30" s="20">
        <v>3.5</v>
      </c>
      <c r="BA30" s="20">
        <v>2.6</v>
      </c>
      <c r="BB30" s="20">
        <v>2.1</v>
      </c>
      <c r="BC30" s="20">
        <v>3.4</v>
      </c>
      <c r="BD30" s="20">
        <v>3.9</v>
      </c>
      <c r="BE30" s="20">
        <v>3.9</v>
      </c>
      <c r="BF30" s="20">
        <v>3.7</v>
      </c>
      <c r="BG30" s="20">
        <v>3.1</v>
      </c>
      <c r="BH30" s="20">
        <v>3.4</v>
      </c>
      <c r="BI30" s="20">
        <v>3.6</v>
      </c>
      <c r="BJ30" s="20">
        <v>4.0</v>
      </c>
      <c r="BK30" s="20">
        <v>2.0</v>
      </c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</row>
    <row r="31" ht="15.75" customHeight="1">
      <c r="A31" s="20" t="s">
        <v>99</v>
      </c>
      <c r="B31" s="20" t="s">
        <v>100</v>
      </c>
      <c r="C31" s="20">
        <v>0.0</v>
      </c>
      <c r="D31" s="20">
        <v>0.7</v>
      </c>
      <c r="E31" s="20">
        <v>1.5</v>
      </c>
      <c r="F31" s="20">
        <v>1.5</v>
      </c>
      <c r="G31" s="20">
        <v>1.5</v>
      </c>
      <c r="H31" s="20">
        <v>1.5</v>
      </c>
      <c r="I31" s="20">
        <v>1.5</v>
      </c>
      <c r="J31" s="20">
        <v>1.5</v>
      </c>
      <c r="K31" s="20">
        <v>1.5</v>
      </c>
      <c r="L31" s="20">
        <v>1.5</v>
      </c>
      <c r="M31" s="20">
        <v>1.5</v>
      </c>
      <c r="N31" s="20">
        <v>1.5</v>
      </c>
      <c r="O31" s="20">
        <v>1.5</v>
      </c>
      <c r="P31" s="20">
        <v>1.5</v>
      </c>
      <c r="Q31" s="20">
        <v>1.5</v>
      </c>
      <c r="R31" s="20">
        <v>1.5</v>
      </c>
      <c r="S31" s="20">
        <v>1.5</v>
      </c>
      <c r="T31" s="20">
        <v>1.5</v>
      </c>
      <c r="U31" s="20">
        <v>1.5</v>
      </c>
      <c r="V31" s="20">
        <v>1.5</v>
      </c>
      <c r="W31" s="20">
        <v>1.5</v>
      </c>
      <c r="X31" s="20">
        <v>1.5</v>
      </c>
      <c r="Y31" s="20">
        <v>1.5</v>
      </c>
      <c r="Z31" s="20">
        <v>1.5</v>
      </c>
      <c r="AA31" s="20">
        <v>1.5</v>
      </c>
      <c r="AB31" s="20">
        <v>1.5</v>
      </c>
      <c r="AC31" s="20">
        <v>1.5</v>
      </c>
      <c r="AD31" s="20">
        <v>1.5</v>
      </c>
      <c r="AE31" s="20">
        <v>1.5</v>
      </c>
      <c r="AF31" s="20">
        <v>1.6</v>
      </c>
      <c r="AG31" s="20">
        <v>1.6</v>
      </c>
      <c r="AH31" s="20">
        <v>1.6</v>
      </c>
      <c r="AI31" s="20">
        <v>1.6</v>
      </c>
      <c r="AJ31" s="20">
        <v>1.6</v>
      </c>
      <c r="AK31" s="20">
        <v>1.6</v>
      </c>
      <c r="AL31" s="20">
        <v>2.4</v>
      </c>
      <c r="AM31" s="20">
        <v>2.7</v>
      </c>
      <c r="AN31" s="20">
        <v>2.7</v>
      </c>
      <c r="AO31" s="20">
        <v>2.7</v>
      </c>
      <c r="AP31" s="20">
        <v>2.7</v>
      </c>
      <c r="AQ31" s="20">
        <v>2.7</v>
      </c>
      <c r="AR31" s="20">
        <v>2.7</v>
      </c>
      <c r="AS31" s="20">
        <v>2.7</v>
      </c>
      <c r="AT31" s="20">
        <v>2.7</v>
      </c>
      <c r="AU31" s="20">
        <v>2.7</v>
      </c>
      <c r="AV31" s="20">
        <v>2.8</v>
      </c>
      <c r="AW31" s="20">
        <v>2.9</v>
      </c>
      <c r="AX31" s="20">
        <v>2.9</v>
      </c>
      <c r="AY31" s="20">
        <v>2.9</v>
      </c>
      <c r="AZ31" s="20">
        <v>2.9</v>
      </c>
      <c r="BA31" s="20">
        <v>1.6</v>
      </c>
      <c r="BB31" s="20">
        <v>1.6</v>
      </c>
      <c r="BC31" s="20">
        <v>1.6</v>
      </c>
      <c r="BD31" s="20">
        <v>1.6</v>
      </c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</row>
    <row r="32" ht="15.75" customHeight="1">
      <c r="A32" s="20" t="s">
        <v>101</v>
      </c>
      <c r="B32" s="20" t="s">
        <v>102</v>
      </c>
      <c r="C32" s="20">
        <v>0.0</v>
      </c>
      <c r="D32" s="20">
        <v>0.4</v>
      </c>
      <c r="E32" s="20">
        <v>0.7</v>
      </c>
      <c r="F32" s="20">
        <v>0.7</v>
      </c>
      <c r="G32" s="20">
        <v>1.0</v>
      </c>
      <c r="H32" s="20">
        <v>1.2</v>
      </c>
      <c r="I32" s="20">
        <v>1.3</v>
      </c>
      <c r="J32" s="20">
        <v>1.6</v>
      </c>
      <c r="K32" s="20">
        <v>1.6</v>
      </c>
      <c r="L32" s="20">
        <v>1.6</v>
      </c>
      <c r="M32" s="20">
        <v>1.6</v>
      </c>
      <c r="N32" s="20">
        <v>1.7</v>
      </c>
      <c r="O32" s="20">
        <v>1.8</v>
      </c>
      <c r="P32" s="20">
        <v>2.0</v>
      </c>
      <c r="Q32" s="20">
        <v>2.1</v>
      </c>
      <c r="R32" s="20">
        <v>2.0</v>
      </c>
      <c r="S32" s="20">
        <v>2.0</v>
      </c>
      <c r="T32" s="20">
        <v>1.9</v>
      </c>
      <c r="U32" s="20">
        <v>1.9</v>
      </c>
      <c r="V32" s="20">
        <v>1.9</v>
      </c>
      <c r="W32" s="20">
        <v>1.9</v>
      </c>
      <c r="X32" s="20">
        <v>2.1</v>
      </c>
      <c r="Y32" s="20">
        <v>2.4</v>
      </c>
      <c r="Z32" s="20">
        <v>2.4</v>
      </c>
      <c r="AA32" s="20">
        <v>2.3</v>
      </c>
      <c r="AB32" s="20">
        <v>2.3</v>
      </c>
      <c r="AC32" s="20">
        <v>2.3</v>
      </c>
      <c r="AD32" s="20">
        <v>2.3</v>
      </c>
      <c r="AE32" s="20">
        <v>2.6</v>
      </c>
      <c r="AF32" s="20">
        <v>2.5</v>
      </c>
      <c r="AG32" s="20">
        <v>2.6</v>
      </c>
      <c r="AH32" s="20">
        <v>2.8</v>
      </c>
      <c r="AI32" s="20">
        <v>2.8</v>
      </c>
      <c r="AJ32" s="20">
        <v>3.5</v>
      </c>
      <c r="AK32" s="20">
        <v>3.5</v>
      </c>
      <c r="AL32" s="20">
        <v>3.5</v>
      </c>
      <c r="AM32" s="20">
        <v>3.8</v>
      </c>
      <c r="AN32" s="20">
        <v>2.8</v>
      </c>
      <c r="AO32" s="20">
        <v>3.3</v>
      </c>
      <c r="AP32" s="20">
        <v>3.3</v>
      </c>
      <c r="AQ32" s="20">
        <v>3.2</v>
      </c>
      <c r="AR32" s="20">
        <v>2.9</v>
      </c>
      <c r="AS32" s="20">
        <v>3.2</v>
      </c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</row>
    <row r="33" ht="15.75" customHeight="1">
      <c r="A33" s="20" t="s">
        <v>103</v>
      </c>
      <c r="B33" s="20" t="s">
        <v>104</v>
      </c>
      <c r="C33" s="20">
        <v>0.0</v>
      </c>
      <c r="D33" s="20">
        <v>1.7</v>
      </c>
      <c r="E33" s="20">
        <v>1.7</v>
      </c>
      <c r="F33" s="20">
        <v>1.7</v>
      </c>
      <c r="G33" s="20">
        <v>1.7</v>
      </c>
      <c r="H33" s="20">
        <v>1.8</v>
      </c>
      <c r="I33" s="20">
        <v>1.8</v>
      </c>
      <c r="J33" s="20">
        <v>1.5</v>
      </c>
      <c r="K33" s="20">
        <v>1.5</v>
      </c>
      <c r="L33" s="20">
        <v>1.5</v>
      </c>
      <c r="M33" s="20">
        <v>1.5</v>
      </c>
      <c r="N33" s="20">
        <v>1.5</v>
      </c>
      <c r="O33" s="20">
        <v>1.5</v>
      </c>
      <c r="P33" s="20">
        <v>1.5</v>
      </c>
      <c r="Q33" s="20">
        <v>1.5</v>
      </c>
      <c r="R33" s="20">
        <v>1.5</v>
      </c>
      <c r="S33" s="20">
        <v>1.5</v>
      </c>
      <c r="T33" s="20">
        <v>1.7</v>
      </c>
      <c r="U33" s="20">
        <v>1.7</v>
      </c>
      <c r="V33" s="20">
        <v>1.7</v>
      </c>
      <c r="W33" s="20">
        <v>1.8</v>
      </c>
      <c r="X33" s="20">
        <v>1.8</v>
      </c>
      <c r="Y33" s="20">
        <v>1.8</v>
      </c>
      <c r="Z33" s="20">
        <v>1.8</v>
      </c>
      <c r="AA33" s="20">
        <v>1.8</v>
      </c>
      <c r="AB33" s="20">
        <v>1.8</v>
      </c>
      <c r="AC33" s="20">
        <v>2.0</v>
      </c>
      <c r="AD33" s="20">
        <v>2.0</v>
      </c>
      <c r="AE33" s="20">
        <v>2.0</v>
      </c>
      <c r="AF33" s="20">
        <v>2.0</v>
      </c>
      <c r="AG33" s="20">
        <v>2.0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</row>
    <row r="34" ht="15.75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</row>
    <row r="35" ht="15.75" customHeight="1">
      <c r="B35" s="20"/>
      <c r="C35" s="20"/>
      <c r="D35" s="20">
        <v>0.0</v>
      </c>
      <c r="E35" s="20">
        <v>1.0</v>
      </c>
      <c r="F35" s="20">
        <v>2.0</v>
      </c>
      <c r="G35" s="20">
        <v>3.0</v>
      </c>
      <c r="H35" s="20">
        <v>4.0</v>
      </c>
      <c r="I35" s="20">
        <v>5.0</v>
      </c>
      <c r="J35" s="20">
        <v>6.0</v>
      </c>
      <c r="K35" s="20">
        <v>7.0</v>
      </c>
      <c r="L35" s="20">
        <v>8.0</v>
      </c>
      <c r="M35" s="20">
        <v>9.0</v>
      </c>
      <c r="N35" s="20">
        <v>10.0</v>
      </c>
      <c r="O35" s="20">
        <v>11.0</v>
      </c>
      <c r="P35" s="20">
        <v>12.0</v>
      </c>
      <c r="Q35" s="20">
        <v>13.0</v>
      </c>
      <c r="R35" s="20">
        <v>14.0</v>
      </c>
      <c r="S35" s="20">
        <v>15.0</v>
      </c>
      <c r="T35" s="20">
        <v>16.0</v>
      </c>
      <c r="U35" s="20">
        <v>17.0</v>
      </c>
      <c r="V35" s="20">
        <v>18.0</v>
      </c>
      <c r="W35" s="20">
        <v>19.0</v>
      </c>
      <c r="X35" s="20">
        <v>20.0</v>
      </c>
      <c r="Y35" s="20">
        <v>21.0</v>
      </c>
      <c r="Z35" s="20">
        <v>22.0</v>
      </c>
      <c r="AA35" s="20">
        <v>23.0</v>
      </c>
      <c r="AB35" s="20">
        <v>24.0</v>
      </c>
      <c r="AC35" s="20">
        <v>25.0</v>
      </c>
      <c r="AD35" s="20">
        <v>26.0</v>
      </c>
      <c r="AE35" s="20">
        <v>27.0</v>
      </c>
      <c r="AF35" s="20">
        <v>28.0</v>
      </c>
      <c r="AG35" s="20">
        <v>29.0</v>
      </c>
      <c r="AH35" s="20">
        <v>30.0</v>
      </c>
      <c r="AI35" s="20">
        <v>31.0</v>
      </c>
      <c r="AJ35" s="20">
        <v>32.0</v>
      </c>
      <c r="AK35" s="20">
        <v>33.0</v>
      </c>
      <c r="AL35" s="20">
        <v>34.0</v>
      </c>
      <c r="AM35" s="20">
        <v>35.0</v>
      </c>
      <c r="AN35" s="20">
        <v>36.0</v>
      </c>
      <c r="AO35" s="20">
        <v>37.0</v>
      </c>
      <c r="AP35" s="20">
        <v>38.0</v>
      </c>
      <c r="AQ35" s="20">
        <v>39.0</v>
      </c>
      <c r="AR35" s="20">
        <v>40.0</v>
      </c>
      <c r="AS35" s="20">
        <v>41.0</v>
      </c>
      <c r="AT35" s="20">
        <v>42.0</v>
      </c>
      <c r="AU35" s="20">
        <v>43.0</v>
      </c>
      <c r="AV35" s="20">
        <v>44.0</v>
      </c>
      <c r="AW35" s="20">
        <v>45.0</v>
      </c>
      <c r="AX35" s="20">
        <v>46.0</v>
      </c>
      <c r="AY35" s="20">
        <v>47.0</v>
      </c>
      <c r="AZ35" s="20">
        <v>48.0</v>
      </c>
      <c r="BA35" s="20">
        <v>49.0</v>
      </c>
      <c r="BB35" s="20">
        <v>50.0</v>
      </c>
      <c r="BC35" s="20">
        <v>51.0</v>
      </c>
      <c r="BD35" s="20">
        <v>52.0</v>
      </c>
      <c r="BE35" s="20">
        <v>53.0</v>
      </c>
      <c r="BF35" s="20">
        <v>54.0</v>
      </c>
      <c r="BG35" s="20">
        <v>55.0</v>
      </c>
      <c r="BH35" s="20">
        <v>56.0</v>
      </c>
      <c r="BI35" s="20">
        <v>57.0</v>
      </c>
      <c r="BJ35" s="20">
        <v>58.0</v>
      </c>
      <c r="BK35" s="20">
        <v>59.0</v>
      </c>
      <c r="BL35" s="20">
        <v>60.0</v>
      </c>
      <c r="BM35" s="20">
        <v>61.0</v>
      </c>
      <c r="BN35" s="20">
        <v>62.0</v>
      </c>
      <c r="BO35" s="20">
        <v>63.0</v>
      </c>
      <c r="BP35" s="20">
        <v>64.0</v>
      </c>
      <c r="BQ35" s="20">
        <v>65.0</v>
      </c>
      <c r="BR35" s="20">
        <v>66.0</v>
      </c>
      <c r="BS35" s="20">
        <v>67.0</v>
      </c>
      <c r="BT35" s="20">
        <v>68.0</v>
      </c>
      <c r="BU35" s="20">
        <v>69.0</v>
      </c>
      <c r="BV35" s="20">
        <v>70.0</v>
      </c>
      <c r="BW35" s="20">
        <v>71.0</v>
      </c>
      <c r="BX35" s="20">
        <v>72.0</v>
      </c>
      <c r="BY35" s="20">
        <v>73.0</v>
      </c>
      <c r="BZ35" s="20">
        <v>74.0</v>
      </c>
      <c r="CA35" s="20">
        <v>75.0</v>
      </c>
      <c r="CB35" s="20">
        <v>76.0</v>
      </c>
      <c r="CC35" s="20">
        <v>77.0</v>
      </c>
      <c r="CD35" s="20">
        <v>78.0</v>
      </c>
      <c r="CE35" s="20">
        <v>79.0</v>
      </c>
      <c r="CF35" s="20">
        <v>80.0</v>
      </c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</row>
    <row r="36" ht="15.75" customHeight="1">
      <c r="B36" s="20" t="s">
        <v>44</v>
      </c>
      <c r="C36" s="20" t="s">
        <v>45</v>
      </c>
      <c r="D36" s="39">
        <f t="shared" ref="D36:AZ36" si="1">AVERAGE(D16:D18)</f>
        <v>0.2666666667</v>
      </c>
      <c r="E36" s="39">
        <f t="shared" si="1"/>
        <v>0.3333333333</v>
      </c>
      <c r="F36" s="39">
        <f t="shared" si="1"/>
        <v>0.3333333333</v>
      </c>
      <c r="G36" s="39">
        <f t="shared" si="1"/>
        <v>0.5333333333</v>
      </c>
      <c r="H36" s="39">
        <f t="shared" si="1"/>
        <v>0.8</v>
      </c>
      <c r="I36" s="39">
        <f t="shared" si="1"/>
        <v>1.033333333</v>
      </c>
      <c r="J36" s="39">
        <f t="shared" si="1"/>
        <v>1.333333333</v>
      </c>
      <c r="K36" s="39">
        <f t="shared" si="1"/>
        <v>1.4</v>
      </c>
      <c r="L36" s="39">
        <f t="shared" si="1"/>
        <v>1.333333333</v>
      </c>
      <c r="M36" s="39">
        <f t="shared" si="1"/>
        <v>1.333333333</v>
      </c>
      <c r="N36" s="39">
        <f t="shared" si="1"/>
        <v>1.366666667</v>
      </c>
      <c r="O36" s="39">
        <f t="shared" si="1"/>
        <v>1.3</v>
      </c>
      <c r="P36" s="39">
        <f t="shared" si="1"/>
        <v>1.233333333</v>
      </c>
      <c r="Q36" s="39">
        <f t="shared" si="1"/>
        <v>1.233333333</v>
      </c>
      <c r="R36" s="39">
        <f t="shared" si="1"/>
        <v>1.3</v>
      </c>
      <c r="S36" s="39">
        <f t="shared" si="1"/>
        <v>1.566666667</v>
      </c>
      <c r="T36" s="39">
        <f t="shared" si="1"/>
        <v>1.566666667</v>
      </c>
      <c r="U36" s="39">
        <f t="shared" si="1"/>
        <v>1.6</v>
      </c>
      <c r="V36" s="39">
        <f t="shared" si="1"/>
        <v>1.866666667</v>
      </c>
      <c r="W36" s="39">
        <f t="shared" si="1"/>
        <v>1.9</v>
      </c>
      <c r="X36" s="39">
        <f t="shared" si="1"/>
        <v>1.966666667</v>
      </c>
      <c r="Y36" s="39">
        <f t="shared" si="1"/>
        <v>1.966666667</v>
      </c>
      <c r="Z36" s="39">
        <f t="shared" si="1"/>
        <v>1.966666667</v>
      </c>
      <c r="AA36" s="39">
        <f t="shared" si="1"/>
        <v>1.8</v>
      </c>
      <c r="AB36" s="39">
        <f t="shared" si="1"/>
        <v>1.8</v>
      </c>
      <c r="AC36" s="39">
        <f t="shared" si="1"/>
        <v>1.866666667</v>
      </c>
      <c r="AD36" s="39">
        <f t="shared" si="1"/>
        <v>1.9</v>
      </c>
      <c r="AE36" s="39">
        <f t="shared" si="1"/>
        <v>1.833333333</v>
      </c>
      <c r="AF36" s="39">
        <f t="shared" si="1"/>
        <v>1.833333333</v>
      </c>
      <c r="AG36" s="39">
        <f t="shared" si="1"/>
        <v>1.8</v>
      </c>
      <c r="AH36" s="39">
        <f t="shared" si="1"/>
        <v>1.866666667</v>
      </c>
      <c r="AI36" s="39">
        <f t="shared" si="1"/>
        <v>1.866666667</v>
      </c>
      <c r="AJ36" s="39">
        <f t="shared" si="1"/>
        <v>1.833333333</v>
      </c>
      <c r="AK36" s="39">
        <f t="shared" si="1"/>
        <v>1.866666667</v>
      </c>
      <c r="AL36" s="39">
        <f t="shared" si="1"/>
        <v>1.9</v>
      </c>
      <c r="AM36" s="39">
        <f t="shared" si="1"/>
        <v>1.7</v>
      </c>
      <c r="AN36" s="39">
        <f t="shared" si="1"/>
        <v>1.9</v>
      </c>
      <c r="AO36" s="39">
        <f t="shared" si="1"/>
        <v>1.933333333</v>
      </c>
      <c r="AP36" s="39">
        <f t="shared" si="1"/>
        <v>2.266666667</v>
      </c>
      <c r="AQ36" s="39">
        <f t="shared" si="1"/>
        <v>2.3</v>
      </c>
      <c r="AR36" s="39">
        <f t="shared" si="1"/>
        <v>2.3</v>
      </c>
      <c r="AS36" s="39">
        <f t="shared" si="1"/>
        <v>2.55</v>
      </c>
      <c r="AT36" s="39">
        <f t="shared" si="1"/>
        <v>2.7</v>
      </c>
      <c r="AU36" s="39">
        <f t="shared" si="1"/>
        <v>2.7</v>
      </c>
      <c r="AV36" s="39">
        <f t="shared" si="1"/>
        <v>2.85</v>
      </c>
      <c r="AW36" s="39">
        <f t="shared" si="1"/>
        <v>3.2</v>
      </c>
      <c r="AX36" s="39">
        <f t="shared" si="1"/>
        <v>3.2</v>
      </c>
      <c r="AY36" s="39">
        <f t="shared" si="1"/>
        <v>2.55</v>
      </c>
      <c r="AZ36" s="39">
        <f t="shared" si="1"/>
        <v>3.7</v>
      </c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</row>
    <row r="37" ht="15.75" customHeight="1">
      <c r="B37" s="20" t="s">
        <v>46</v>
      </c>
      <c r="C37" s="20" t="s">
        <v>47</v>
      </c>
      <c r="D37" s="39">
        <f t="shared" ref="D37:BF37" si="2">AVERAGE(D19:D21)</f>
        <v>0.4</v>
      </c>
      <c r="E37" s="39">
        <f t="shared" si="2"/>
        <v>0.6666666667</v>
      </c>
      <c r="F37" s="39">
        <f t="shared" si="2"/>
        <v>1.333333333</v>
      </c>
      <c r="G37" s="39">
        <f t="shared" si="2"/>
        <v>1.5</v>
      </c>
      <c r="H37" s="39">
        <f t="shared" si="2"/>
        <v>1.7</v>
      </c>
      <c r="I37" s="39">
        <f t="shared" si="2"/>
        <v>1.8</v>
      </c>
      <c r="J37" s="39">
        <f t="shared" si="2"/>
        <v>1.833333333</v>
      </c>
      <c r="K37" s="39">
        <f t="shared" si="2"/>
        <v>1.833333333</v>
      </c>
      <c r="L37" s="39">
        <f t="shared" si="2"/>
        <v>1.833333333</v>
      </c>
      <c r="M37" s="39">
        <f t="shared" si="2"/>
        <v>1.833333333</v>
      </c>
      <c r="N37" s="39">
        <f t="shared" si="2"/>
        <v>1.8</v>
      </c>
      <c r="O37" s="39">
        <f t="shared" si="2"/>
        <v>1.8</v>
      </c>
      <c r="P37" s="39">
        <f t="shared" si="2"/>
        <v>1.8</v>
      </c>
      <c r="Q37" s="39">
        <f t="shared" si="2"/>
        <v>1.8</v>
      </c>
      <c r="R37" s="39">
        <f t="shared" si="2"/>
        <v>1.766666667</v>
      </c>
      <c r="S37" s="39">
        <f t="shared" si="2"/>
        <v>1.766666667</v>
      </c>
      <c r="T37" s="39">
        <f t="shared" si="2"/>
        <v>1.766666667</v>
      </c>
      <c r="U37" s="39">
        <f t="shared" si="2"/>
        <v>1.833333333</v>
      </c>
      <c r="V37" s="39">
        <f t="shared" si="2"/>
        <v>1.833333333</v>
      </c>
      <c r="W37" s="39">
        <f t="shared" si="2"/>
        <v>1.833333333</v>
      </c>
      <c r="X37" s="39">
        <f t="shared" si="2"/>
        <v>1.833333333</v>
      </c>
      <c r="Y37" s="39">
        <f t="shared" si="2"/>
        <v>1.8</v>
      </c>
      <c r="Z37" s="39">
        <f t="shared" si="2"/>
        <v>1.9</v>
      </c>
      <c r="AA37" s="39">
        <f t="shared" si="2"/>
        <v>2</v>
      </c>
      <c r="AB37" s="39">
        <f t="shared" si="2"/>
        <v>2.033333333</v>
      </c>
      <c r="AC37" s="39">
        <f t="shared" si="2"/>
        <v>2.166666667</v>
      </c>
      <c r="AD37" s="39">
        <f t="shared" si="2"/>
        <v>2.2</v>
      </c>
      <c r="AE37" s="39">
        <f t="shared" si="2"/>
        <v>2.166666667</v>
      </c>
      <c r="AF37" s="39">
        <f t="shared" si="2"/>
        <v>1.666666667</v>
      </c>
      <c r="AG37" s="39">
        <f t="shared" si="2"/>
        <v>1.8</v>
      </c>
      <c r="AH37" s="39">
        <f t="shared" si="2"/>
        <v>2.5</v>
      </c>
      <c r="AI37" s="39">
        <f t="shared" si="2"/>
        <v>2.6</v>
      </c>
      <c r="AJ37" s="39">
        <f t="shared" si="2"/>
        <v>2.8</v>
      </c>
      <c r="AK37" s="39">
        <f t="shared" si="2"/>
        <v>2.8</v>
      </c>
      <c r="AL37" s="39">
        <f t="shared" si="2"/>
        <v>2.8</v>
      </c>
      <c r="AM37" s="39">
        <f t="shared" si="2"/>
        <v>2.95</v>
      </c>
      <c r="AN37" s="39">
        <f t="shared" si="2"/>
        <v>3.45</v>
      </c>
      <c r="AO37" s="39">
        <f t="shared" si="2"/>
        <v>2.8</v>
      </c>
      <c r="AP37" s="39">
        <f t="shared" si="2"/>
        <v>2.6</v>
      </c>
      <c r="AQ37" s="39">
        <f t="shared" si="2"/>
        <v>2.8</v>
      </c>
      <c r="AR37" s="39">
        <f t="shared" si="2"/>
        <v>2.8</v>
      </c>
      <c r="AS37" s="39">
        <f t="shared" si="2"/>
        <v>3.7</v>
      </c>
      <c r="AT37" s="39">
        <f t="shared" si="2"/>
        <v>3.8</v>
      </c>
      <c r="AU37" s="39">
        <f t="shared" si="2"/>
        <v>3.8</v>
      </c>
      <c r="AV37" s="39">
        <f t="shared" si="2"/>
        <v>3.8</v>
      </c>
      <c r="AW37" s="39">
        <f t="shared" si="2"/>
        <v>3.8</v>
      </c>
      <c r="AX37" s="39">
        <f t="shared" si="2"/>
        <v>3.9</v>
      </c>
      <c r="AY37" s="39">
        <f t="shared" si="2"/>
        <v>2.9</v>
      </c>
      <c r="AZ37" s="39">
        <f t="shared" si="2"/>
        <v>2.9</v>
      </c>
      <c r="BA37" s="39">
        <f t="shared" si="2"/>
        <v>2.9</v>
      </c>
      <c r="BB37" s="39">
        <f t="shared" si="2"/>
        <v>2.1</v>
      </c>
      <c r="BC37" s="39">
        <f t="shared" si="2"/>
        <v>3.6</v>
      </c>
      <c r="BD37" s="39">
        <f t="shared" si="2"/>
        <v>3.6</v>
      </c>
      <c r="BE37" s="39">
        <f t="shared" si="2"/>
        <v>3</v>
      </c>
      <c r="BF37" s="39">
        <f t="shared" si="2"/>
        <v>4.1</v>
      </c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</row>
    <row r="38" ht="15.75" customHeight="1">
      <c r="B38" s="20" t="s">
        <v>44</v>
      </c>
      <c r="C38" s="20" t="s">
        <v>48</v>
      </c>
      <c r="D38" s="39">
        <f t="shared" ref="D38:BA38" si="3">AVERAGE(D22:D24)</f>
        <v>0.3333333333</v>
      </c>
      <c r="E38" s="39">
        <f t="shared" si="3"/>
        <v>0.8</v>
      </c>
      <c r="F38" s="39">
        <f t="shared" si="3"/>
        <v>1.066666667</v>
      </c>
      <c r="G38" s="39">
        <f t="shared" si="3"/>
        <v>1.066666667</v>
      </c>
      <c r="H38" s="39">
        <f t="shared" si="3"/>
        <v>1.5</v>
      </c>
      <c r="I38" s="39">
        <f t="shared" si="3"/>
        <v>1.5</v>
      </c>
      <c r="J38" s="39">
        <f t="shared" si="3"/>
        <v>1.566666667</v>
      </c>
      <c r="K38" s="39">
        <f t="shared" si="3"/>
        <v>1.566666667</v>
      </c>
      <c r="L38" s="39">
        <f t="shared" si="3"/>
        <v>1.933333333</v>
      </c>
      <c r="M38" s="39">
        <f t="shared" si="3"/>
        <v>1.866666667</v>
      </c>
      <c r="N38" s="39">
        <f t="shared" si="3"/>
        <v>1.9</v>
      </c>
      <c r="O38" s="39">
        <f t="shared" si="3"/>
        <v>1.9</v>
      </c>
      <c r="P38" s="39">
        <f t="shared" si="3"/>
        <v>1.733333333</v>
      </c>
      <c r="Q38" s="39">
        <f t="shared" si="3"/>
        <v>1.766666667</v>
      </c>
      <c r="R38" s="39">
        <f t="shared" si="3"/>
        <v>1.8</v>
      </c>
      <c r="S38" s="39">
        <f t="shared" si="3"/>
        <v>1.833333333</v>
      </c>
      <c r="T38" s="39">
        <f t="shared" si="3"/>
        <v>1.8</v>
      </c>
      <c r="U38" s="39">
        <f t="shared" si="3"/>
        <v>1.8</v>
      </c>
      <c r="V38" s="39">
        <f t="shared" si="3"/>
        <v>1.8</v>
      </c>
      <c r="W38" s="39">
        <f t="shared" si="3"/>
        <v>1.8</v>
      </c>
      <c r="X38" s="39">
        <f t="shared" si="3"/>
        <v>1.8</v>
      </c>
      <c r="Y38" s="39">
        <f t="shared" si="3"/>
        <v>1.866666667</v>
      </c>
      <c r="Z38" s="39">
        <f t="shared" si="3"/>
        <v>1.866666667</v>
      </c>
      <c r="AA38" s="39">
        <f t="shared" si="3"/>
        <v>1.9</v>
      </c>
      <c r="AB38" s="39">
        <f t="shared" si="3"/>
        <v>2</v>
      </c>
      <c r="AC38" s="39">
        <f t="shared" si="3"/>
        <v>2.066666667</v>
      </c>
      <c r="AD38" s="39">
        <f t="shared" si="3"/>
        <v>2.166666667</v>
      </c>
      <c r="AE38" s="39">
        <f t="shared" si="3"/>
        <v>2.233333333</v>
      </c>
      <c r="AF38" s="39">
        <f t="shared" si="3"/>
        <v>1.9</v>
      </c>
      <c r="AG38" s="39">
        <f t="shared" si="3"/>
        <v>2</v>
      </c>
      <c r="AH38" s="39">
        <f t="shared" si="3"/>
        <v>1.7</v>
      </c>
      <c r="AI38" s="39">
        <f t="shared" si="3"/>
        <v>2.3</v>
      </c>
      <c r="AJ38" s="39">
        <f t="shared" si="3"/>
        <v>2.3</v>
      </c>
      <c r="AK38" s="39">
        <f t="shared" si="3"/>
        <v>2.4</v>
      </c>
      <c r="AL38" s="39">
        <f t="shared" si="3"/>
        <v>2.1</v>
      </c>
      <c r="AM38" s="39">
        <f t="shared" si="3"/>
        <v>2.2</v>
      </c>
      <c r="AN38" s="39">
        <f t="shared" si="3"/>
        <v>1.8</v>
      </c>
      <c r="AO38" s="39">
        <f t="shared" si="3"/>
        <v>1.8</v>
      </c>
      <c r="AP38" s="39">
        <f t="shared" si="3"/>
        <v>1.7</v>
      </c>
      <c r="AQ38" s="39">
        <f t="shared" si="3"/>
        <v>2</v>
      </c>
      <c r="AR38" s="39">
        <f t="shared" si="3"/>
        <v>2</v>
      </c>
      <c r="AS38" s="39">
        <f t="shared" si="3"/>
        <v>2.8</v>
      </c>
      <c r="AT38" s="39">
        <f t="shared" si="3"/>
        <v>2.8</v>
      </c>
      <c r="AU38" s="39">
        <f t="shared" si="3"/>
        <v>2.8</v>
      </c>
      <c r="AV38" s="39">
        <f t="shared" si="3"/>
        <v>2.8</v>
      </c>
      <c r="AW38" s="39">
        <f t="shared" si="3"/>
        <v>2.6</v>
      </c>
      <c r="AX38" s="39">
        <f t="shared" si="3"/>
        <v>2.6</v>
      </c>
      <c r="AY38" s="39">
        <f t="shared" si="3"/>
        <v>2.6</v>
      </c>
      <c r="AZ38" s="39">
        <f t="shared" si="3"/>
        <v>2.6</v>
      </c>
      <c r="BA38" s="39">
        <f t="shared" si="3"/>
        <v>1.8</v>
      </c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</row>
    <row r="39" ht="15.75" customHeight="1">
      <c r="B39" s="20" t="s">
        <v>46</v>
      </c>
      <c r="C39" s="20" t="s">
        <v>49</v>
      </c>
      <c r="D39" s="39">
        <f t="shared" ref="D39:AW39" si="4">AVERAGE(D25:D27)</f>
        <v>0.3</v>
      </c>
      <c r="E39" s="39">
        <f t="shared" si="4"/>
        <v>0.6666666667</v>
      </c>
      <c r="F39" s="39">
        <f t="shared" si="4"/>
        <v>1</v>
      </c>
      <c r="G39" s="39">
        <f t="shared" si="4"/>
        <v>1</v>
      </c>
      <c r="H39" s="39">
        <f t="shared" si="4"/>
        <v>1.233333333</v>
      </c>
      <c r="I39" s="39">
        <f t="shared" si="4"/>
        <v>1.233333333</v>
      </c>
      <c r="J39" s="39">
        <f t="shared" si="4"/>
        <v>1.4</v>
      </c>
      <c r="K39" s="39">
        <f t="shared" si="4"/>
        <v>1.633333333</v>
      </c>
      <c r="L39" s="39">
        <f t="shared" si="4"/>
        <v>2</v>
      </c>
      <c r="M39" s="39">
        <f t="shared" si="4"/>
        <v>2.066666667</v>
      </c>
      <c r="N39" s="39">
        <f t="shared" si="4"/>
        <v>2.233333333</v>
      </c>
      <c r="O39" s="39">
        <f t="shared" si="4"/>
        <v>2.266666667</v>
      </c>
      <c r="P39" s="39">
        <f t="shared" si="4"/>
        <v>2.4</v>
      </c>
      <c r="Q39" s="39">
        <f t="shared" si="4"/>
        <v>2.366666667</v>
      </c>
      <c r="R39" s="39">
        <f t="shared" si="4"/>
        <v>2.333333333</v>
      </c>
      <c r="S39" s="39">
        <f t="shared" si="4"/>
        <v>2.233333333</v>
      </c>
      <c r="T39" s="39">
        <f t="shared" si="4"/>
        <v>2.233333333</v>
      </c>
      <c r="U39" s="39">
        <f t="shared" si="4"/>
        <v>2.166666667</v>
      </c>
      <c r="V39" s="39">
        <f t="shared" si="4"/>
        <v>2.1</v>
      </c>
      <c r="W39" s="39">
        <f t="shared" si="4"/>
        <v>2.233333333</v>
      </c>
      <c r="X39" s="39">
        <f t="shared" si="4"/>
        <v>2.3</v>
      </c>
      <c r="Y39" s="39">
        <f t="shared" si="4"/>
        <v>2.333333333</v>
      </c>
      <c r="Z39" s="39">
        <f t="shared" si="4"/>
        <v>2.3</v>
      </c>
      <c r="AA39" s="39">
        <f t="shared" si="4"/>
        <v>2.433333333</v>
      </c>
      <c r="AB39" s="39">
        <f t="shared" si="4"/>
        <v>2.233333333</v>
      </c>
      <c r="AC39" s="39">
        <f t="shared" si="4"/>
        <v>1.633333333</v>
      </c>
      <c r="AD39" s="39">
        <f t="shared" si="4"/>
        <v>2.766666667</v>
      </c>
      <c r="AE39" s="39">
        <f t="shared" si="4"/>
        <v>3.266666667</v>
      </c>
      <c r="AF39" s="39">
        <f t="shared" si="4"/>
        <v>3.366666667</v>
      </c>
      <c r="AG39" s="39">
        <f t="shared" si="4"/>
        <v>3.433333333</v>
      </c>
      <c r="AH39" s="39">
        <f t="shared" si="4"/>
        <v>3.333333333</v>
      </c>
      <c r="AI39" s="39">
        <f t="shared" si="4"/>
        <v>3.433333333</v>
      </c>
      <c r="AJ39" s="39">
        <f t="shared" si="4"/>
        <v>2.933333333</v>
      </c>
      <c r="AK39" s="39">
        <f t="shared" si="4"/>
        <v>3.533333333</v>
      </c>
      <c r="AL39" s="39">
        <f t="shared" si="4"/>
        <v>3.666666667</v>
      </c>
      <c r="AM39" s="39">
        <f t="shared" si="4"/>
        <v>3.7</v>
      </c>
      <c r="AN39" s="39">
        <f t="shared" si="4"/>
        <v>3.1</v>
      </c>
      <c r="AO39" s="39">
        <f t="shared" si="4"/>
        <v>3.15</v>
      </c>
      <c r="AP39" s="39">
        <f t="shared" si="4"/>
        <v>3.3</v>
      </c>
      <c r="AQ39" s="39">
        <f t="shared" si="4"/>
        <v>3.5</v>
      </c>
      <c r="AR39" s="39">
        <f t="shared" si="4"/>
        <v>3.65</v>
      </c>
      <c r="AS39" s="39">
        <f t="shared" si="4"/>
        <v>3.4</v>
      </c>
      <c r="AT39" s="39">
        <f t="shared" si="4"/>
        <v>3.4</v>
      </c>
      <c r="AU39" s="39">
        <f t="shared" si="4"/>
        <v>2.9</v>
      </c>
      <c r="AV39" s="39">
        <f t="shared" si="4"/>
        <v>2.05</v>
      </c>
      <c r="AW39" s="39">
        <f t="shared" si="4"/>
        <v>1.4</v>
      </c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</row>
    <row r="40" ht="15.75" customHeight="1">
      <c r="B40" s="20" t="s">
        <v>46</v>
      </c>
      <c r="C40" s="20" t="s">
        <v>50</v>
      </c>
      <c r="D40" s="39">
        <f t="shared" ref="D40:BK40" si="5">AVERAGE(D28:D30)</f>
        <v>0.6333333333</v>
      </c>
      <c r="E40" s="39">
        <f t="shared" si="5"/>
        <v>0.7</v>
      </c>
      <c r="F40" s="39">
        <f t="shared" si="5"/>
        <v>1.133333333</v>
      </c>
      <c r="G40" s="39">
        <f t="shared" si="5"/>
        <v>1.4</v>
      </c>
      <c r="H40" s="39">
        <f t="shared" si="5"/>
        <v>1.4</v>
      </c>
      <c r="I40" s="39">
        <f t="shared" si="5"/>
        <v>1.6</v>
      </c>
      <c r="J40" s="39">
        <f t="shared" si="5"/>
        <v>1.8</v>
      </c>
      <c r="K40" s="39">
        <f t="shared" si="5"/>
        <v>1.866666667</v>
      </c>
      <c r="L40" s="39">
        <f t="shared" si="5"/>
        <v>1.866666667</v>
      </c>
      <c r="M40" s="39">
        <f t="shared" si="5"/>
        <v>1.866666667</v>
      </c>
      <c r="N40" s="39">
        <f t="shared" si="5"/>
        <v>1.833333333</v>
      </c>
      <c r="O40" s="39">
        <f t="shared" si="5"/>
        <v>1.833333333</v>
      </c>
      <c r="P40" s="39">
        <f t="shared" si="5"/>
        <v>1.866666667</v>
      </c>
      <c r="Q40" s="39">
        <f t="shared" si="5"/>
        <v>1.9</v>
      </c>
      <c r="R40" s="39">
        <f t="shared" si="5"/>
        <v>1.9</v>
      </c>
      <c r="S40" s="39">
        <f t="shared" si="5"/>
        <v>1.9</v>
      </c>
      <c r="T40" s="39">
        <f t="shared" si="5"/>
        <v>1.9</v>
      </c>
      <c r="U40" s="39">
        <f t="shared" si="5"/>
        <v>1.9</v>
      </c>
      <c r="V40" s="39">
        <f t="shared" si="5"/>
        <v>1.9</v>
      </c>
      <c r="W40" s="39">
        <f t="shared" si="5"/>
        <v>1.866666667</v>
      </c>
      <c r="X40" s="39">
        <f t="shared" si="5"/>
        <v>1.633333333</v>
      </c>
      <c r="Y40" s="39">
        <f t="shared" si="5"/>
        <v>1.6</v>
      </c>
      <c r="Z40" s="39">
        <f t="shared" si="5"/>
        <v>1.633333333</v>
      </c>
      <c r="AA40" s="39">
        <f t="shared" si="5"/>
        <v>1.633333333</v>
      </c>
      <c r="AB40" s="39">
        <f t="shared" si="5"/>
        <v>1.633333333</v>
      </c>
      <c r="AC40" s="39">
        <f t="shared" si="5"/>
        <v>1.733333333</v>
      </c>
      <c r="AD40" s="39">
        <f t="shared" si="5"/>
        <v>1.733333333</v>
      </c>
      <c r="AE40" s="39">
        <f t="shared" si="5"/>
        <v>1.666666667</v>
      </c>
      <c r="AF40" s="39">
        <f t="shared" si="5"/>
        <v>1.7</v>
      </c>
      <c r="AG40" s="39">
        <f t="shared" si="5"/>
        <v>1.7</v>
      </c>
      <c r="AH40" s="39">
        <f t="shared" si="5"/>
        <v>1.8</v>
      </c>
      <c r="AI40" s="39">
        <f t="shared" si="5"/>
        <v>1.833333333</v>
      </c>
      <c r="AJ40" s="39">
        <f t="shared" si="5"/>
        <v>1.833333333</v>
      </c>
      <c r="AK40" s="39">
        <f t="shared" si="5"/>
        <v>1.933333333</v>
      </c>
      <c r="AL40" s="39">
        <f t="shared" si="5"/>
        <v>1.966666667</v>
      </c>
      <c r="AM40" s="39">
        <f t="shared" si="5"/>
        <v>2.2</v>
      </c>
      <c r="AN40" s="39">
        <f t="shared" si="5"/>
        <v>2.5</v>
      </c>
      <c r="AO40" s="39">
        <f t="shared" si="5"/>
        <v>2.466666667</v>
      </c>
      <c r="AP40" s="39">
        <f t="shared" si="5"/>
        <v>2.733333333</v>
      </c>
      <c r="AQ40" s="39">
        <f t="shared" si="5"/>
        <v>2.866666667</v>
      </c>
      <c r="AR40" s="39">
        <f t="shared" si="5"/>
        <v>2.833333333</v>
      </c>
      <c r="AS40" s="39">
        <f t="shared" si="5"/>
        <v>2.666666667</v>
      </c>
      <c r="AT40" s="39">
        <f t="shared" si="5"/>
        <v>2.766666667</v>
      </c>
      <c r="AU40" s="39">
        <f t="shared" si="5"/>
        <v>2.766666667</v>
      </c>
      <c r="AV40" s="39">
        <f t="shared" si="5"/>
        <v>2.8</v>
      </c>
      <c r="AW40" s="39">
        <f t="shared" si="5"/>
        <v>2.833333333</v>
      </c>
      <c r="AX40" s="39">
        <f t="shared" si="5"/>
        <v>3.4</v>
      </c>
      <c r="AY40" s="39">
        <f t="shared" si="5"/>
        <v>3.466666667</v>
      </c>
      <c r="AZ40" s="39">
        <f t="shared" si="5"/>
        <v>3.466666667</v>
      </c>
      <c r="BA40" s="39">
        <f t="shared" si="5"/>
        <v>3.166666667</v>
      </c>
      <c r="BB40" s="39">
        <f t="shared" si="5"/>
        <v>2.85</v>
      </c>
      <c r="BC40" s="39">
        <f t="shared" si="5"/>
        <v>3.4</v>
      </c>
      <c r="BD40" s="39">
        <f t="shared" si="5"/>
        <v>4.1</v>
      </c>
      <c r="BE40" s="39">
        <f t="shared" si="5"/>
        <v>3.9</v>
      </c>
      <c r="BF40" s="39">
        <f t="shared" si="5"/>
        <v>3.7</v>
      </c>
      <c r="BG40" s="39">
        <f t="shared" si="5"/>
        <v>3.1</v>
      </c>
      <c r="BH40" s="39">
        <f t="shared" si="5"/>
        <v>3.4</v>
      </c>
      <c r="BI40" s="39">
        <f t="shared" si="5"/>
        <v>3.6</v>
      </c>
      <c r="BJ40" s="39">
        <f t="shared" si="5"/>
        <v>4</v>
      </c>
      <c r="BK40" s="39">
        <f t="shared" si="5"/>
        <v>2</v>
      </c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</row>
    <row r="41" ht="15.75" customHeight="1">
      <c r="B41" s="20" t="s">
        <v>44</v>
      </c>
      <c r="C41" s="20" t="s">
        <v>51</v>
      </c>
      <c r="D41" s="39">
        <f t="shared" ref="D41:BD41" si="6">AVERAGE(D31:D33)</f>
        <v>0.9333333333</v>
      </c>
      <c r="E41" s="39">
        <f t="shared" si="6"/>
        <v>1.3</v>
      </c>
      <c r="F41" s="39">
        <f t="shared" si="6"/>
        <v>1.3</v>
      </c>
      <c r="G41" s="39">
        <f t="shared" si="6"/>
        <v>1.4</v>
      </c>
      <c r="H41" s="39">
        <f t="shared" si="6"/>
        <v>1.5</v>
      </c>
      <c r="I41" s="39">
        <f t="shared" si="6"/>
        <v>1.533333333</v>
      </c>
      <c r="J41" s="39">
        <f t="shared" si="6"/>
        <v>1.533333333</v>
      </c>
      <c r="K41" s="39">
        <f t="shared" si="6"/>
        <v>1.533333333</v>
      </c>
      <c r="L41" s="39">
        <f t="shared" si="6"/>
        <v>1.533333333</v>
      </c>
      <c r="M41" s="39">
        <f t="shared" si="6"/>
        <v>1.533333333</v>
      </c>
      <c r="N41" s="39">
        <f t="shared" si="6"/>
        <v>1.566666667</v>
      </c>
      <c r="O41" s="39">
        <f t="shared" si="6"/>
        <v>1.6</v>
      </c>
      <c r="P41" s="39">
        <f t="shared" si="6"/>
        <v>1.666666667</v>
      </c>
      <c r="Q41" s="39">
        <f t="shared" si="6"/>
        <v>1.7</v>
      </c>
      <c r="R41" s="39">
        <f t="shared" si="6"/>
        <v>1.666666667</v>
      </c>
      <c r="S41" s="39">
        <f t="shared" si="6"/>
        <v>1.666666667</v>
      </c>
      <c r="T41" s="39">
        <f t="shared" si="6"/>
        <v>1.7</v>
      </c>
      <c r="U41" s="39">
        <f t="shared" si="6"/>
        <v>1.7</v>
      </c>
      <c r="V41" s="39">
        <f t="shared" si="6"/>
        <v>1.7</v>
      </c>
      <c r="W41" s="39">
        <f t="shared" si="6"/>
        <v>1.733333333</v>
      </c>
      <c r="X41" s="39">
        <f t="shared" si="6"/>
        <v>1.8</v>
      </c>
      <c r="Y41" s="39">
        <f t="shared" si="6"/>
        <v>1.9</v>
      </c>
      <c r="Z41" s="39">
        <f t="shared" si="6"/>
        <v>1.9</v>
      </c>
      <c r="AA41" s="39">
        <f t="shared" si="6"/>
        <v>1.866666667</v>
      </c>
      <c r="AB41" s="39">
        <f t="shared" si="6"/>
        <v>1.866666667</v>
      </c>
      <c r="AC41" s="39">
        <f t="shared" si="6"/>
        <v>1.933333333</v>
      </c>
      <c r="AD41" s="39">
        <f t="shared" si="6"/>
        <v>1.933333333</v>
      </c>
      <c r="AE41" s="39">
        <f t="shared" si="6"/>
        <v>2.033333333</v>
      </c>
      <c r="AF41" s="39">
        <f t="shared" si="6"/>
        <v>2.033333333</v>
      </c>
      <c r="AG41" s="39">
        <f t="shared" si="6"/>
        <v>2.066666667</v>
      </c>
      <c r="AH41" s="39">
        <f t="shared" si="6"/>
        <v>2.2</v>
      </c>
      <c r="AI41" s="39">
        <f t="shared" si="6"/>
        <v>2.2</v>
      </c>
      <c r="AJ41" s="39">
        <f t="shared" si="6"/>
        <v>2.55</v>
      </c>
      <c r="AK41" s="39">
        <f t="shared" si="6"/>
        <v>2.55</v>
      </c>
      <c r="AL41" s="39">
        <f t="shared" si="6"/>
        <v>2.95</v>
      </c>
      <c r="AM41" s="39">
        <f t="shared" si="6"/>
        <v>3.25</v>
      </c>
      <c r="AN41" s="39">
        <f t="shared" si="6"/>
        <v>2.75</v>
      </c>
      <c r="AO41" s="39">
        <f t="shared" si="6"/>
        <v>3</v>
      </c>
      <c r="AP41" s="39">
        <f t="shared" si="6"/>
        <v>3</v>
      </c>
      <c r="AQ41" s="39">
        <f t="shared" si="6"/>
        <v>2.95</v>
      </c>
      <c r="AR41" s="39">
        <f t="shared" si="6"/>
        <v>2.8</v>
      </c>
      <c r="AS41" s="39">
        <f t="shared" si="6"/>
        <v>2.95</v>
      </c>
      <c r="AT41" s="39">
        <f t="shared" si="6"/>
        <v>2.7</v>
      </c>
      <c r="AU41" s="39">
        <f t="shared" si="6"/>
        <v>2.7</v>
      </c>
      <c r="AV41" s="39">
        <f t="shared" si="6"/>
        <v>2.8</v>
      </c>
      <c r="AW41" s="39">
        <f t="shared" si="6"/>
        <v>2.9</v>
      </c>
      <c r="AX41" s="39">
        <f t="shared" si="6"/>
        <v>2.9</v>
      </c>
      <c r="AY41" s="39">
        <f t="shared" si="6"/>
        <v>2.9</v>
      </c>
      <c r="AZ41" s="39">
        <f t="shared" si="6"/>
        <v>2.9</v>
      </c>
      <c r="BA41" s="39">
        <f t="shared" si="6"/>
        <v>1.6</v>
      </c>
      <c r="BB41" s="39">
        <f t="shared" si="6"/>
        <v>1.6</v>
      </c>
      <c r="BC41" s="39">
        <f t="shared" si="6"/>
        <v>1.6</v>
      </c>
      <c r="BD41" s="39">
        <f t="shared" si="6"/>
        <v>1.6</v>
      </c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</row>
    <row r="42" ht="15.75" customHeight="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</row>
    <row r="43" ht="15.75" customHeight="1">
      <c r="B43" s="20"/>
      <c r="C43" s="20" t="s">
        <v>44</v>
      </c>
      <c r="D43" s="39">
        <f t="shared" ref="D43:BD43" si="7">AVERAGE(D36,D38,D41)</f>
        <v>0.5111111111</v>
      </c>
      <c r="E43" s="39">
        <f t="shared" si="7"/>
        <v>0.8111111111</v>
      </c>
      <c r="F43" s="39">
        <f t="shared" si="7"/>
        <v>0.9</v>
      </c>
      <c r="G43" s="39">
        <f t="shared" si="7"/>
        <v>1</v>
      </c>
      <c r="H43" s="39">
        <f t="shared" si="7"/>
        <v>1.266666667</v>
      </c>
      <c r="I43" s="39">
        <f t="shared" si="7"/>
        <v>1.355555556</v>
      </c>
      <c r="J43" s="39">
        <f t="shared" si="7"/>
        <v>1.477777778</v>
      </c>
      <c r="K43" s="39">
        <f t="shared" si="7"/>
        <v>1.5</v>
      </c>
      <c r="L43" s="39">
        <f t="shared" si="7"/>
        <v>1.6</v>
      </c>
      <c r="M43" s="39">
        <f t="shared" si="7"/>
        <v>1.577777778</v>
      </c>
      <c r="N43" s="39">
        <f t="shared" si="7"/>
        <v>1.611111111</v>
      </c>
      <c r="O43" s="39">
        <f t="shared" si="7"/>
        <v>1.6</v>
      </c>
      <c r="P43" s="39">
        <f t="shared" si="7"/>
        <v>1.544444444</v>
      </c>
      <c r="Q43" s="39">
        <f t="shared" si="7"/>
        <v>1.566666667</v>
      </c>
      <c r="R43" s="39">
        <f t="shared" si="7"/>
        <v>1.588888889</v>
      </c>
      <c r="S43" s="39">
        <f t="shared" si="7"/>
        <v>1.688888889</v>
      </c>
      <c r="T43" s="39">
        <f t="shared" si="7"/>
        <v>1.688888889</v>
      </c>
      <c r="U43" s="39">
        <f t="shared" si="7"/>
        <v>1.7</v>
      </c>
      <c r="V43" s="39">
        <f t="shared" si="7"/>
        <v>1.788888889</v>
      </c>
      <c r="W43" s="39">
        <f t="shared" si="7"/>
        <v>1.811111111</v>
      </c>
      <c r="X43" s="39">
        <f t="shared" si="7"/>
        <v>1.855555556</v>
      </c>
      <c r="Y43" s="39">
        <f t="shared" si="7"/>
        <v>1.911111111</v>
      </c>
      <c r="Z43" s="39">
        <f t="shared" si="7"/>
        <v>1.911111111</v>
      </c>
      <c r="AA43" s="39">
        <f t="shared" si="7"/>
        <v>1.855555556</v>
      </c>
      <c r="AB43" s="39">
        <f t="shared" si="7"/>
        <v>1.888888889</v>
      </c>
      <c r="AC43" s="39">
        <f t="shared" si="7"/>
        <v>1.955555556</v>
      </c>
      <c r="AD43" s="39">
        <f t="shared" si="7"/>
        <v>2</v>
      </c>
      <c r="AE43" s="39">
        <f t="shared" si="7"/>
        <v>2.033333333</v>
      </c>
      <c r="AF43" s="39">
        <f t="shared" si="7"/>
        <v>1.922222222</v>
      </c>
      <c r="AG43" s="39">
        <f t="shared" si="7"/>
        <v>1.955555556</v>
      </c>
      <c r="AH43" s="39">
        <f t="shared" si="7"/>
        <v>1.922222222</v>
      </c>
      <c r="AI43" s="39">
        <f t="shared" si="7"/>
        <v>2.122222222</v>
      </c>
      <c r="AJ43" s="39">
        <f t="shared" si="7"/>
        <v>2.227777778</v>
      </c>
      <c r="AK43" s="39">
        <f t="shared" si="7"/>
        <v>2.272222222</v>
      </c>
      <c r="AL43" s="39">
        <f t="shared" si="7"/>
        <v>2.316666667</v>
      </c>
      <c r="AM43" s="39">
        <f t="shared" si="7"/>
        <v>2.383333333</v>
      </c>
      <c r="AN43" s="39">
        <f t="shared" si="7"/>
        <v>2.15</v>
      </c>
      <c r="AO43" s="39">
        <f t="shared" si="7"/>
        <v>2.244444444</v>
      </c>
      <c r="AP43" s="39">
        <f t="shared" si="7"/>
        <v>2.322222222</v>
      </c>
      <c r="AQ43" s="39">
        <f t="shared" si="7"/>
        <v>2.416666667</v>
      </c>
      <c r="AR43" s="39">
        <f t="shared" si="7"/>
        <v>2.366666667</v>
      </c>
      <c r="AS43" s="39">
        <f t="shared" si="7"/>
        <v>2.766666667</v>
      </c>
      <c r="AT43" s="39">
        <f t="shared" si="7"/>
        <v>2.733333333</v>
      </c>
      <c r="AU43" s="39">
        <f t="shared" si="7"/>
        <v>2.733333333</v>
      </c>
      <c r="AV43" s="39">
        <f t="shared" si="7"/>
        <v>2.816666667</v>
      </c>
      <c r="AW43" s="39">
        <f t="shared" si="7"/>
        <v>2.9</v>
      </c>
      <c r="AX43" s="39">
        <f t="shared" si="7"/>
        <v>2.9</v>
      </c>
      <c r="AY43" s="39">
        <f t="shared" si="7"/>
        <v>2.683333333</v>
      </c>
      <c r="AZ43" s="39">
        <f t="shared" si="7"/>
        <v>3.066666667</v>
      </c>
      <c r="BA43" s="39">
        <f t="shared" si="7"/>
        <v>1.7</v>
      </c>
      <c r="BB43" s="39">
        <f t="shared" si="7"/>
        <v>1.6</v>
      </c>
      <c r="BC43" s="39">
        <f t="shared" si="7"/>
        <v>1.6</v>
      </c>
      <c r="BD43" s="39">
        <f t="shared" si="7"/>
        <v>1.6</v>
      </c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</row>
    <row r="44" ht="15.75" customHeight="1">
      <c r="B44" s="20"/>
      <c r="C44" s="20" t="s">
        <v>46</v>
      </c>
      <c r="D44" s="39">
        <f t="shared" ref="D44:BK44" si="8">AVERAGE(D37,D39,D40)</f>
        <v>0.4444444444</v>
      </c>
      <c r="E44" s="39">
        <f t="shared" si="8"/>
        <v>0.6777777778</v>
      </c>
      <c r="F44" s="39">
        <f t="shared" si="8"/>
        <v>1.155555556</v>
      </c>
      <c r="G44" s="39">
        <f t="shared" si="8"/>
        <v>1.3</v>
      </c>
      <c r="H44" s="39">
        <f t="shared" si="8"/>
        <v>1.444444444</v>
      </c>
      <c r="I44" s="39">
        <f t="shared" si="8"/>
        <v>1.544444444</v>
      </c>
      <c r="J44" s="39">
        <f t="shared" si="8"/>
        <v>1.677777778</v>
      </c>
      <c r="K44" s="39">
        <f t="shared" si="8"/>
        <v>1.777777778</v>
      </c>
      <c r="L44" s="39">
        <f t="shared" si="8"/>
        <v>1.9</v>
      </c>
      <c r="M44" s="39">
        <f t="shared" si="8"/>
        <v>1.922222222</v>
      </c>
      <c r="N44" s="39">
        <f t="shared" si="8"/>
        <v>1.955555556</v>
      </c>
      <c r="O44" s="39">
        <f t="shared" si="8"/>
        <v>1.966666667</v>
      </c>
      <c r="P44" s="39">
        <f t="shared" si="8"/>
        <v>2.022222222</v>
      </c>
      <c r="Q44" s="39">
        <f t="shared" si="8"/>
        <v>2.022222222</v>
      </c>
      <c r="R44" s="39">
        <f t="shared" si="8"/>
        <v>2</v>
      </c>
      <c r="S44" s="39">
        <f t="shared" si="8"/>
        <v>1.966666667</v>
      </c>
      <c r="T44" s="39">
        <f t="shared" si="8"/>
        <v>1.966666667</v>
      </c>
      <c r="U44" s="39">
        <f t="shared" si="8"/>
        <v>1.966666667</v>
      </c>
      <c r="V44" s="39">
        <f t="shared" si="8"/>
        <v>1.944444444</v>
      </c>
      <c r="W44" s="39">
        <f t="shared" si="8"/>
        <v>1.977777778</v>
      </c>
      <c r="X44" s="39">
        <f t="shared" si="8"/>
        <v>1.922222222</v>
      </c>
      <c r="Y44" s="39">
        <f t="shared" si="8"/>
        <v>1.911111111</v>
      </c>
      <c r="Z44" s="39">
        <f t="shared" si="8"/>
        <v>1.944444444</v>
      </c>
      <c r="AA44" s="39">
        <f t="shared" si="8"/>
        <v>2.022222222</v>
      </c>
      <c r="AB44" s="39">
        <f t="shared" si="8"/>
        <v>1.966666667</v>
      </c>
      <c r="AC44" s="39">
        <f t="shared" si="8"/>
        <v>1.844444444</v>
      </c>
      <c r="AD44" s="39">
        <f t="shared" si="8"/>
        <v>2.233333333</v>
      </c>
      <c r="AE44" s="39">
        <f t="shared" si="8"/>
        <v>2.366666667</v>
      </c>
      <c r="AF44" s="39">
        <f t="shared" si="8"/>
        <v>2.244444444</v>
      </c>
      <c r="AG44" s="39">
        <f t="shared" si="8"/>
        <v>2.311111111</v>
      </c>
      <c r="AH44" s="39">
        <f t="shared" si="8"/>
        <v>2.544444444</v>
      </c>
      <c r="AI44" s="39">
        <f t="shared" si="8"/>
        <v>2.622222222</v>
      </c>
      <c r="AJ44" s="39">
        <f t="shared" si="8"/>
        <v>2.522222222</v>
      </c>
      <c r="AK44" s="39">
        <f t="shared" si="8"/>
        <v>2.755555556</v>
      </c>
      <c r="AL44" s="39">
        <f t="shared" si="8"/>
        <v>2.811111111</v>
      </c>
      <c r="AM44" s="39">
        <f t="shared" si="8"/>
        <v>2.95</v>
      </c>
      <c r="AN44" s="39">
        <f t="shared" si="8"/>
        <v>3.016666667</v>
      </c>
      <c r="AO44" s="39">
        <f t="shared" si="8"/>
        <v>2.805555556</v>
      </c>
      <c r="AP44" s="39">
        <f t="shared" si="8"/>
        <v>2.877777778</v>
      </c>
      <c r="AQ44" s="39">
        <f t="shared" si="8"/>
        <v>3.055555556</v>
      </c>
      <c r="AR44" s="39">
        <f t="shared" si="8"/>
        <v>3.094444444</v>
      </c>
      <c r="AS44" s="39">
        <f t="shared" si="8"/>
        <v>3.255555556</v>
      </c>
      <c r="AT44" s="39">
        <f t="shared" si="8"/>
        <v>3.322222222</v>
      </c>
      <c r="AU44" s="39">
        <f t="shared" si="8"/>
        <v>3.155555556</v>
      </c>
      <c r="AV44" s="39">
        <f t="shared" si="8"/>
        <v>2.883333333</v>
      </c>
      <c r="AW44" s="39">
        <f t="shared" si="8"/>
        <v>2.677777778</v>
      </c>
      <c r="AX44" s="39">
        <f t="shared" si="8"/>
        <v>3.65</v>
      </c>
      <c r="AY44" s="39">
        <f t="shared" si="8"/>
        <v>3.183333333</v>
      </c>
      <c r="AZ44" s="39">
        <f t="shared" si="8"/>
        <v>3.183333333</v>
      </c>
      <c r="BA44" s="39">
        <f t="shared" si="8"/>
        <v>3.033333333</v>
      </c>
      <c r="BB44" s="39">
        <f t="shared" si="8"/>
        <v>2.475</v>
      </c>
      <c r="BC44" s="39">
        <f t="shared" si="8"/>
        <v>3.5</v>
      </c>
      <c r="BD44" s="39">
        <f t="shared" si="8"/>
        <v>3.85</v>
      </c>
      <c r="BE44" s="39">
        <f t="shared" si="8"/>
        <v>3.45</v>
      </c>
      <c r="BF44" s="39">
        <f t="shared" si="8"/>
        <v>3.9</v>
      </c>
      <c r="BG44" s="39">
        <f t="shared" si="8"/>
        <v>3.1</v>
      </c>
      <c r="BH44" s="39">
        <f t="shared" si="8"/>
        <v>3.4</v>
      </c>
      <c r="BI44" s="39">
        <f t="shared" si="8"/>
        <v>3.6</v>
      </c>
      <c r="BJ44" s="39">
        <f t="shared" si="8"/>
        <v>4</v>
      </c>
      <c r="BK44" s="39">
        <f t="shared" si="8"/>
        <v>2</v>
      </c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</row>
    <row r="45" ht="15.75" customHeight="1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</row>
    <row r="52" ht="15.75" customHeight="1">
      <c r="A52" s="20"/>
      <c r="B52" s="34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</row>
    <row r="79" ht="15.75" customHeight="1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</row>
    <row r="80" ht="15.75" customHeight="1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</row>
    <row r="81" ht="15.75" customHeight="1">
      <c r="B81" s="20"/>
      <c r="C81" s="20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</row>
    <row r="82" ht="15.75" customHeight="1">
      <c r="B82" s="20"/>
      <c r="C82" s="20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</row>
    <row r="83" ht="15.75" customHeight="1">
      <c r="B83" s="20"/>
      <c r="C83" s="20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</row>
    <row r="84" ht="15.75" customHeight="1">
      <c r="B84" s="20"/>
      <c r="C84" s="20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</row>
    <row r="85" ht="15.75" customHeight="1">
      <c r="B85" s="20"/>
      <c r="C85" s="20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</row>
    <row r="86" ht="15.75" customHeight="1">
      <c r="B86" s="20"/>
      <c r="C86" s="20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</row>
    <row r="87" ht="15.75" customHeight="1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</row>
    <row r="88" ht="15.75" customHeight="1">
      <c r="B88" s="20"/>
      <c r="C88" s="20" t="s">
        <v>44</v>
      </c>
      <c r="D88" s="39" t="str">
        <f t="shared" ref="D88:CF88" si="9">AVERAGE(D81,D83,D86)</f>
        <v>#DIV/0!</v>
      </c>
      <c r="E88" s="39" t="str">
        <f t="shared" si="9"/>
        <v>#DIV/0!</v>
      </c>
      <c r="F88" s="39" t="str">
        <f t="shared" si="9"/>
        <v>#DIV/0!</v>
      </c>
      <c r="G88" s="39" t="str">
        <f t="shared" si="9"/>
        <v>#DIV/0!</v>
      </c>
      <c r="H88" s="39" t="str">
        <f t="shared" si="9"/>
        <v>#DIV/0!</v>
      </c>
      <c r="I88" s="39" t="str">
        <f t="shared" si="9"/>
        <v>#DIV/0!</v>
      </c>
      <c r="J88" s="39" t="str">
        <f t="shared" si="9"/>
        <v>#DIV/0!</v>
      </c>
      <c r="K88" s="39" t="str">
        <f t="shared" si="9"/>
        <v>#DIV/0!</v>
      </c>
      <c r="L88" s="39" t="str">
        <f t="shared" si="9"/>
        <v>#DIV/0!</v>
      </c>
      <c r="M88" s="39" t="str">
        <f t="shared" si="9"/>
        <v>#DIV/0!</v>
      </c>
      <c r="N88" s="39" t="str">
        <f t="shared" si="9"/>
        <v>#DIV/0!</v>
      </c>
      <c r="O88" s="39" t="str">
        <f t="shared" si="9"/>
        <v>#DIV/0!</v>
      </c>
      <c r="P88" s="39" t="str">
        <f t="shared" si="9"/>
        <v>#DIV/0!</v>
      </c>
      <c r="Q88" s="39" t="str">
        <f t="shared" si="9"/>
        <v>#DIV/0!</v>
      </c>
      <c r="R88" s="39" t="str">
        <f t="shared" si="9"/>
        <v>#DIV/0!</v>
      </c>
      <c r="S88" s="39" t="str">
        <f t="shared" si="9"/>
        <v>#DIV/0!</v>
      </c>
      <c r="T88" s="39" t="str">
        <f t="shared" si="9"/>
        <v>#DIV/0!</v>
      </c>
      <c r="U88" s="39" t="str">
        <f t="shared" si="9"/>
        <v>#DIV/0!</v>
      </c>
      <c r="V88" s="39" t="str">
        <f t="shared" si="9"/>
        <v>#DIV/0!</v>
      </c>
      <c r="W88" s="39" t="str">
        <f t="shared" si="9"/>
        <v>#DIV/0!</v>
      </c>
      <c r="X88" s="39" t="str">
        <f t="shared" si="9"/>
        <v>#DIV/0!</v>
      </c>
      <c r="Y88" s="39" t="str">
        <f t="shared" si="9"/>
        <v>#DIV/0!</v>
      </c>
      <c r="Z88" s="39" t="str">
        <f t="shared" si="9"/>
        <v>#DIV/0!</v>
      </c>
      <c r="AA88" s="39" t="str">
        <f t="shared" si="9"/>
        <v>#DIV/0!</v>
      </c>
      <c r="AB88" s="39" t="str">
        <f t="shared" si="9"/>
        <v>#DIV/0!</v>
      </c>
      <c r="AC88" s="39" t="str">
        <f t="shared" si="9"/>
        <v>#DIV/0!</v>
      </c>
      <c r="AD88" s="39" t="str">
        <f t="shared" si="9"/>
        <v>#DIV/0!</v>
      </c>
      <c r="AE88" s="39" t="str">
        <f t="shared" si="9"/>
        <v>#DIV/0!</v>
      </c>
      <c r="AF88" s="39" t="str">
        <f t="shared" si="9"/>
        <v>#DIV/0!</v>
      </c>
      <c r="AG88" s="39" t="str">
        <f t="shared" si="9"/>
        <v>#DIV/0!</v>
      </c>
      <c r="AH88" s="39" t="str">
        <f t="shared" si="9"/>
        <v>#DIV/0!</v>
      </c>
      <c r="AI88" s="39" t="str">
        <f t="shared" si="9"/>
        <v>#DIV/0!</v>
      </c>
      <c r="AJ88" s="39" t="str">
        <f t="shared" si="9"/>
        <v>#DIV/0!</v>
      </c>
      <c r="AK88" s="39" t="str">
        <f t="shared" si="9"/>
        <v>#DIV/0!</v>
      </c>
      <c r="AL88" s="39" t="str">
        <f t="shared" si="9"/>
        <v>#DIV/0!</v>
      </c>
      <c r="AM88" s="39" t="str">
        <f t="shared" si="9"/>
        <v>#DIV/0!</v>
      </c>
      <c r="AN88" s="39" t="str">
        <f t="shared" si="9"/>
        <v>#DIV/0!</v>
      </c>
      <c r="AO88" s="39" t="str">
        <f t="shared" si="9"/>
        <v>#DIV/0!</v>
      </c>
      <c r="AP88" s="39" t="str">
        <f t="shared" si="9"/>
        <v>#DIV/0!</v>
      </c>
      <c r="AQ88" s="39" t="str">
        <f t="shared" si="9"/>
        <v>#DIV/0!</v>
      </c>
      <c r="AR88" s="39" t="str">
        <f t="shared" si="9"/>
        <v>#DIV/0!</v>
      </c>
      <c r="AS88" s="39" t="str">
        <f t="shared" si="9"/>
        <v>#DIV/0!</v>
      </c>
      <c r="AT88" s="39" t="str">
        <f t="shared" si="9"/>
        <v>#DIV/0!</v>
      </c>
      <c r="AU88" s="39" t="str">
        <f t="shared" si="9"/>
        <v>#DIV/0!</v>
      </c>
      <c r="AV88" s="39" t="str">
        <f t="shared" si="9"/>
        <v>#DIV/0!</v>
      </c>
      <c r="AW88" s="39" t="str">
        <f t="shared" si="9"/>
        <v>#DIV/0!</v>
      </c>
      <c r="AX88" s="39" t="str">
        <f t="shared" si="9"/>
        <v>#DIV/0!</v>
      </c>
      <c r="AY88" s="39" t="str">
        <f t="shared" si="9"/>
        <v>#DIV/0!</v>
      </c>
      <c r="AZ88" s="39" t="str">
        <f t="shared" si="9"/>
        <v>#DIV/0!</v>
      </c>
      <c r="BA88" s="39" t="str">
        <f t="shared" si="9"/>
        <v>#DIV/0!</v>
      </c>
      <c r="BB88" s="39" t="str">
        <f t="shared" si="9"/>
        <v>#DIV/0!</v>
      </c>
      <c r="BC88" s="39" t="str">
        <f t="shared" si="9"/>
        <v>#DIV/0!</v>
      </c>
      <c r="BD88" s="39" t="str">
        <f t="shared" si="9"/>
        <v>#DIV/0!</v>
      </c>
      <c r="BE88" s="39" t="str">
        <f t="shared" si="9"/>
        <v>#DIV/0!</v>
      </c>
      <c r="BF88" s="39" t="str">
        <f t="shared" si="9"/>
        <v>#DIV/0!</v>
      </c>
      <c r="BG88" s="39" t="str">
        <f t="shared" si="9"/>
        <v>#DIV/0!</v>
      </c>
      <c r="BH88" s="39" t="str">
        <f t="shared" si="9"/>
        <v>#DIV/0!</v>
      </c>
      <c r="BI88" s="39" t="str">
        <f t="shared" si="9"/>
        <v>#DIV/0!</v>
      </c>
      <c r="BJ88" s="39" t="str">
        <f t="shared" si="9"/>
        <v>#DIV/0!</v>
      </c>
      <c r="BK88" s="39" t="str">
        <f t="shared" si="9"/>
        <v>#DIV/0!</v>
      </c>
      <c r="BL88" s="39" t="str">
        <f t="shared" si="9"/>
        <v>#DIV/0!</v>
      </c>
      <c r="BM88" s="39" t="str">
        <f t="shared" si="9"/>
        <v>#DIV/0!</v>
      </c>
      <c r="BN88" s="39" t="str">
        <f t="shared" si="9"/>
        <v>#DIV/0!</v>
      </c>
      <c r="BO88" s="39" t="str">
        <f t="shared" si="9"/>
        <v>#DIV/0!</v>
      </c>
      <c r="BP88" s="39" t="str">
        <f t="shared" si="9"/>
        <v>#DIV/0!</v>
      </c>
      <c r="BQ88" s="39" t="str">
        <f t="shared" si="9"/>
        <v>#DIV/0!</v>
      </c>
      <c r="BR88" s="39" t="str">
        <f t="shared" si="9"/>
        <v>#DIV/0!</v>
      </c>
      <c r="BS88" s="39" t="str">
        <f t="shared" si="9"/>
        <v>#DIV/0!</v>
      </c>
      <c r="BT88" s="39" t="str">
        <f t="shared" si="9"/>
        <v>#DIV/0!</v>
      </c>
      <c r="BU88" s="39" t="str">
        <f t="shared" si="9"/>
        <v>#DIV/0!</v>
      </c>
      <c r="BV88" s="39" t="str">
        <f t="shared" si="9"/>
        <v>#DIV/0!</v>
      </c>
      <c r="BW88" s="39" t="str">
        <f t="shared" si="9"/>
        <v>#DIV/0!</v>
      </c>
      <c r="BX88" s="39" t="str">
        <f t="shared" si="9"/>
        <v>#DIV/0!</v>
      </c>
      <c r="BY88" s="39" t="str">
        <f t="shared" si="9"/>
        <v>#DIV/0!</v>
      </c>
      <c r="BZ88" s="39" t="str">
        <f t="shared" si="9"/>
        <v>#DIV/0!</v>
      </c>
      <c r="CA88" s="39" t="str">
        <f t="shared" si="9"/>
        <v>#DIV/0!</v>
      </c>
      <c r="CB88" s="39" t="str">
        <f t="shared" si="9"/>
        <v>#DIV/0!</v>
      </c>
      <c r="CC88" s="39" t="str">
        <f t="shared" si="9"/>
        <v>#DIV/0!</v>
      </c>
      <c r="CD88" s="39" t="str">
        <f t="shared" si="9"/>
        <v>#DIV/0!</v>
      </c>
      <c r="CE88" s="39" t="str">
        <f t="shared" si="9"/>
        <v>#DIV/0!</v>
      </c>
      <c r="CF88" s="39" t="str">
        <f t="shared" si="9"/>
        <v>#DIV/0!</v>
      </c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</row>
    <row r="89" ht="15.75" customHeight="1">
      <c r="B89" s="20"/>
      <c r="C89" s="20" t="s">
        <v>46</v>
      </c>
      <c r="D89" s="39" t="str">
        <f t="shared" ref="D89:CF89" si="10">AVERAGE(D82,D84,D85)</f>
        <v>#DIV/0!</v>
      </c>
      <c r="E89" s="39" t="str">
        <f t="shared" si="10"/>
        <v>#DIV/0!</v>
      </c>
      <c r="F89" s="39" t="str">
        <f t="shared" si="10"/>
        <v>#DIV/0!</v>
      </c>
      <c r="G89" s="39" t="str">
        <f t="shared" si="10"/>
        <v>#DIV/0!</v>
      </c>
      <c r="H89" s="39" t="str">
        <f t="shared" si="10"/>
        <v>#DIV/0!</v>
      </c>
      <c r="I89" s="39" t="str">
        <f t="shared" si="10"/>
        <v>#DIV/0!</v>
      </c>
      <c r="J89" s="39" t="str">
        <f t="shared" si="10"/>
        <v>#DIV/0!</v>
      </c>
      <c r="K89" s="39" t="str">
        <f t="shared" si="10"/>
        <v>#DIV/0!</v>
      </c>
      <c r="L89" s="39" t="str">
        <f t="shared" si="10"/>
        <v>#DIV/0!</v>
      </c>
      <c r="M89" s="39" t="str">
        <f t="shared" si="10"/>
        <v>#DIV/0!</v>
      </c>
      <c r="N89" s="39" t="str">
        <f t="shared" si="10"/>
        <v>#DIV/0!</v>
      </c>
      <c r="O89" s="39" t="str">
        <f t="shared" si="10"/>
        <v>#DIV/0!</v>
      </c>
      <c r="P89" s="39" t="str">
        <f t="shared" si="10"/>
        <v>#DIV/0!</v>
      </c>
      <c r="Q89" s="39" t="str">
        <f t="shared" si="10"/>
        <v>#DIV/0!</v>
      </c>
      <c r="R89" s="39" t="str">
        <f t="shared" si="10"/>
        <v>#DIV/0!</v>
      </c>
      <c r="S89" s="39" t="str">
        <f t="shared" si="10"/>
        <v>#DIV/0!</v>
      </c>
      <c r="T89" s="39" t="str">
        <f t="shared" si="10"/>
        <v>#DIV/0!</v>
      </c>
      <c r="U89" s="39" t="str">
        <f t="shared" si="10"/>
        <v>#DIV/0!</v>
      </c>
      <c r="V89" s="39" t="str">
        <f t="shared" si="10"/>
        <v>#DIV/0!</v>
      </c>
      <c r="W89" s="39" t="str">
        <f t="shared" si="10"/>
        <v>#DIV/0!</v>
      </c>
      <c r="X89" s="39" t="str">
        <f t="shared" si="10"/>
        <v>#DIV/0!</v>
      </c>
      <c r="Y89" s="39" t="str">
        <f t="shared" si="10"/>
        <v>#DIV/0!</v>
      </c>
      <c r="Z89" s="39" t="str">
        <f t="shared" si="10"/>
        <v>#DIV/0!</v>
      </c>
      <c r="AA89" s="39" t="str">
        <f t="shared" si="10"/>
        <v>#DIV/0!</v>
      </c>
      <c r="AB89" s="39" t="str">
        <f t="shared" si="10"/>
        <v>#DIV/0!</v>
      </c>
      <c r="AC89" s="39" t="str">
        <f t="shared" si="10"/>
        <v>#DIV/0!</v>
      </c>
      <c r="AD89" s="39" t="str">
        <f t="shared" si="10"/>
        <v>#DIV/0!</v>
      </c>
      <c r="AE89" s="39" t="str">
        <f t="shared" si="10"/>
        <v>#DIV/0!</v>
      </c>
      <c r="AF89" s="39" t="str">
        <f t="shared" si="10"/>
        <v>#DIV/0!</v>
      </c>
      <c r="AG89" s="39" t="str">
        <f t="shared" si="10"/>
        <v>#DIV/0!</v>
      </c>
      <c r="AH89" s="39" t="str">
        <f t="shared" si="10"/>
        <v>#DIV/0!</v>
      </c>
      <c r="AI89" s="39" t="str">
        <f t="shared" si="10"/>
        <v>#DIV/0!</v>
      </c>
      <c r="AJ89" s="39" t="str">
        <f t="shared" si="10"/>
        <v>#DIV/0!</v>
      </c>
      <c r="AK89" s="39" t="str">
        <f t="shared" si="10"/>
        <v>#DIV/0!</v>
      </c>
      <c r="AL89" s="39" t="str">
        <f t="shared" si="10"/>
        <v>#DIV/0!</v>
      </c>
      <c r="AM89" s="39" t="str">
        <f t="shared" si="10"/>
        <v>#DIV/0!</v>
      </c>
      <c r="AN89" s="39" t="str">
        <f t="shared" si="10"/>
        <v>#DIV/0!</v>
      </c>
      <c r="AO89" s="39" t="str">
        <f t="shared" si="10"/>
        <v>#DIV/0!</v>
      </c>
      <c r="AP89" s="39" t="str">
        <f t="shared" si="10"/>
        <v>#DIV/0!</v>
      </c>
      <c r="AQ89" s="39" t="str">
        <f t="shared" si="10"/>
        <v>#DIV/0!</v>
      </c>
      <c r="AR89" s="39" t="str">
        <f t="shared" si="10"/>
        <v>#DIV/0!</v>
      </c>
      <c r="AS89" s="39" t="str">
        <f t="shared" si="10"/>
        <v>#DIV/0!</v>
      </c>
      <c r="AT89" s="39" t="str">
        <f t="shared" si="10"/>
        <v>#DIV/0!</v>
      </c>
      <c r="AU89" s="39" t="str">
        <f t="shared" si="10"/>
        <v>#DIV/0!</v>
      </c>
      <c r="AV89" s="39" t="str">
        <f t="shared" si="10"/>
        <v>#DIV/0!</v>
      </c>
      <c r="AW89" s="39" t="str">
        <f t="shared" si="10"/>
        <v>#DIV/0!</v>
      </c>
      <c r="AX89" s="39" t="str">
        <f t="shared" si="10"/>
        <v>#DIV/0!</v>
      </c>
      <c r="AY89" s="39" t="str">
        <f t="shared" si="10"/>
        <v>#DIV/0!</v>
      </c>
      <c r="AZ89" s="39" t="str">
        <f t="shared" si="10"/>
        <v>#DIV/0!</v>
      </c>
      <c r="BA89" s="39" t="str">
        <f t="shared" si="10"/>
        <v>#DIV/0!</v>
      </c>
      <c r="BB89" s="39" t="str">
        <f t="shared" si="10"/>
        <v>#DIV/0!</v>
      </c>
      <c r="BC89" s="39" t="str">
        <f t="shared" si="10"/>
        <v>#DIV/0!</v>
      </c>
      <c r="BD89" s="39" t="str">
        <f t="shared" si="10"/>
        <v>#DIV/0!</v>
      </c>
      <c r="BE89" s="39" t="str">
        <f t="shared" si="10"/>
        <v>#DIV/0!</v>
      </c>
      <c r="BF89" s="39" t="str">
        <f t="shared" si="10"/>
        <v>#DIV/0!</v>
      </c>
      <c r="BG89" s="39" t="str">
        <f t="shared" si="10"/>
        <v>#DIV/0!</v>
      </c>
      <c r="BH89" s="39" t="str">
        <f t="shared" si="10"/>
        <v>#DIV/0!</v>
      </c>
      <c r="BI89" s="39" t="str">
        <f t="shared" si="10"/>
        <v>#DIV/0!</v>
      </c>
      <c r="BJ89" s="39" t="str">
        <f t="shared" si="10"/>
        <v>#DIV/0!</v>
      </c>
      <c r="BK89" s="39" t="str">
        <f t="shared" si="10"/>
        <v>#DIV/0!</v>
      </c>
      <c r="BL89" s="39" t="str">
        <f t="shared" si="10"/>
        <v>#DIV/0!</v>
      </c>
      <c r="BM89" s="39" t="str">
        <f t="shared" si="10"/>
        <v>#DIV/0!</v>
      </c>
      <c r="BN89" s="39" t="str">
        <f t="shared" si="10"/>
        <v>#DIV/0!</v>
      </c>
      <c r="BO89" s="39" t="str">
        <f t="shared" si="10"/>
        <v>#DIV/0!</v>
      </c>
      <c r="BP89" s="39" t="str">
        <f t="shared" si="10"/>
        <v>#DIV/0!</v>
      </c>
      <c r="BQ89" s="39" t="str">
        <f t="shared" si="10"/>
        <v>#DIV/0!</v>
      </c>
      <c r="BR89" s="39" t="str">
        <f t="shared" si="10"/>
        <v>#DIV/0!</v>
      </c>
      <c r="BS89" s="39" t="str">
        <f t="shared" si="10"/>
        <v>#DIV/0!</v>
      </c>
      <c r="BT89" s="39" t="str">
        <f t="shared" si="10"/>
        <v>#DIV/0!</v>
      </c>
      <c r="BU89" s="39" t="str">
        <f t="shared" si="10"/>
        <v>#DIV/0!</v>
      </c>
      <c r="BV89" s="39" t="str">
        <f t="shared" si="10"/>
        <v>#DIV/0!</v>
      </c>
      <c r="BW89" s="39" t="str">
        <f t="shared" si="10"/>
        <v>#DIV/0!</v>
      </c>
      <c r="BX89" s="39" t="str">
        <f t="shared" si="10"/>
        <v>#DIV/0!</v>
      </c>
      <c r="BY89" s="39" t="str">
        <f t="shared" si="10"/>
        <v>#DIV/0!</v>
      </c>
      <c r="BZ89" s="39" t="str">
        <f t="shared" si="10"/>
        <v>#DIV/0!</v>
      </c>
      <c r="CA89" s="39" t="str">
        <f t="shared" si="10"/>
        <v>#DIV/0!</v>
      </c>
      <c r="CB89" s="39" t="str">
        <f t="shared" si="10"/>
        <v>#DIV/0!</v>
      </c>
      <c r="CC89" s="39" t="str">
        <f t="shared" si="10"/>
        <v>#DIV/0!</v>
      </c>
      <c r="CD89" s="39" t="str">
        <f t="shared" si="10"/>
        <v>#DIV/0!</v>
      </c>
      <c r="CE89" s="39" t="str">
        <f t="shared" si="10"/>
        <v>#DIV/0!</v>
      </c>
      <c r="CF89" s="39" t="str">
        <f t="shared" si="10"/>
        <v>#DIV/0!</v>
      </c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</row>
    <row r="90" ht="15.75" customHeight="1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</row>
    <row r="91" ht="15.75" customHeight="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</row>
    <row r="92" ht="15.75" customHeight="1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</row>
    <row r="93" ht="15.75" customHeight="1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</row>
    <row r="94" ht="15.75" customHeight="1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</row>
    <row r="95" ht="15.75" customHeight="1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</row>
    <row r="96" ht="15.75" customHeight="1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</row>
    <row r="97" ht="15.75" customHeight="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</row>
    <row r="98" ht="15.75" customHeight="1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</row>
    <row r="99" ht="15.75" customHeight="1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</row>
    <row r="100" ht="15.75" customHeight="1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</row>
    <row r="101" ht="15.75" customHeight="1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</row>
    <row r="102" ht="15.75" customHeight="1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</row>
    <row r="103" ht="15.75" customHeight="1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</row>
    <row r="104" ht="15.75" customHeight="1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</row>
    <row r="105" ht="15.75" customHeight="1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</row>
    <row r="106" ht="15.75" customHeight="1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</row>
    <row r="107" ht="15.75" customHeight="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</row>
    <row r="108" ht="15.75" customHeight="1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</row>
    <row r="109" ht="15.75" customHeight="1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</row>
    <row r="110" ht="15.75" customHeight="1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</row>
    <row r="111" ht="15.75" customHeight="1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</row>
    <row r="112" ht="15.75" customHeight="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</row>
    <row r="113" ht="15.75" customHeight="1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</row>
    <row r="114" ht="15.75" customHeight="1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</row>
    <row r="115" ht="15.75" customHeight="1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</row>
    <row r="116" ht="15.75" customHeight="1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</row>
    <row r="117" ht="15.75" customHeight="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</row>
    <row r="118" ht="15.75" customHeight="1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</row>
    <row r="119" ht="15.75" customHeight="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</row>
    <row r="120" ht="15.75" customHeight="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</row>
    <row r="121" ht="15.75" customHeight="1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</row>
    <row r="122" ht="15.75" customHeight="1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</row>
    <row r="123" ht="15.75" customHeight="1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</row>
    <row r="124" ht="15.75" customHeight="1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</row>
    <row r="125" ht="15.75" customHeight="1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</row>
    <row r="126" ht="15.75" customHeight="1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</row>
    <row r="127" ht="15.75" customHeight="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</row>
    <row r="128" ht="15.75" customHeight="1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</row>
    <row r="129" ht="15.75" customHeight="1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</row>
    <row r="130" ht="15.75" customHeight="1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</row>
    <row r="131" ht="15.75" customHeight="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</row>
    <row r="132" ht="15.75" customHeight="1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</row>
    <row r="133" ht="15.75" customHeight="1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</row>
    <row r="134" ht="15.75" customHeight="1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</row>
    <row r="135" ht="15.75" customHeight="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</row>
    <row r="136" ht="15.75" customHeight="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</row>
    <row r="137" ht="15.75" customHeight="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</row>
    <row r="138" ht="15.75" customHeight="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</row>
    <row r="139" ht="15.75" customHeight="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</row>
    <row r="140" ht="15.75" customHeight="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</row>
    <row r="141" ht="15.75" customHeight="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</row>
    <row r="142" ht="15.75" customHeight="1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</row>
    <row r="143" ht="15.75" customHeight="1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</row>
    <row r="144" ht="15.75" customHeight="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</row>
    <row r="145" ht="15.75" customHeight="1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</row>
    <row r="146" ht="15.75" customHeight="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</row>
    <row r="147" ht="15.75" customHeight="1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</row>
    <row r="148" ht="15.75" customHeight="1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</row>
    <row r="149" ht="15.75" customHeight="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</row>
    <row r="150" ht="15.75" customHeight="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</row>
    <row r="151" ht="15.75" customHeight="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</row>
    <row r="152" ht="15.75" customHeight="1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</row>
    <row r="153" ht="15.75" customHeight="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</row>
    <row r="154" ht="15.75" customHeight="1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</row>
    <row r="155" ht="15.75" customHeight="1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</row>
    <row r="156" ht="15.75" customHeight="1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</row>
    <row r="157" ht="15.75" customHeight="1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</row>
    <row r="158" ht="15.75" customHeight="1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</row>
    <row r="159" ht="15.75" customHeight="1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</row>
    <row r="160" ht="15.75" customHeight="1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</row>
    <row r="161" ht="15.75" customHeight="1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</row>
    <row r="162" ht="15.75" customHeight="1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</row>
    <row r="163" ht="15.75" customHeight="1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</row>
    <row r="164" ht="15.75" customHeight="1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</row>
    <row r="165" ht="15.75" customHeight="1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</row>
    <row r="166" ht="15.75" customHeight="1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</row>
    <row r="167" ht="15.75" customHeight="1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</row>
    <row r="168" ht="15.75" customHeight="1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</row>
    <row r="169" ht="15.75" customHeight="1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</row>
    <row r="170" ht="15.75" customHeight="1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</row>
    <row r="171" ht="15.75" customHeight="1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</row>
    <row r="172" ht="15.75" customHeight="1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</row>
    <row r="173" ht="15.75" customHeight="1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</row>
    <row r="174" ht="15.75" customHeight="1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</row>
    <row r="175" ht="15.75" customHeight="1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</row>
    <row r="176" ht="15.75" customHeight="1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</row>
    <row r="177" ht="15.75" customHeight="1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</row>
    <row r="178" ht="15.75" customHeight="1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</row>
    <row r="179" ht="15.75" customHeight="1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</row>
    <row r="180" ht="15.75" customHeight="1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</row>
    <row r="181" ht="15.75" customHeight="1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</row>
    <row r="182" ht="15.75" customHeight="1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</row>
    <row r="183" ht="15.75" customHeight="1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</row>
    <row r="184" ht="15.75" customHeight="1"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</row>
    <row r="185" ht="15.75" customHeight="1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</row>
    <row r="186" ht="15.75" customHeight="1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</row>
    <row r="187" ht="15.75" customHeight="1"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</row>
    <row r="188" ht="15.75" customHeight="1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</row>
    <row r="189" ht="15.75" customHeight="1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</row>
    <row r="190" ht="15.75" customHeight="1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</row>
    <row r="191" ht="15.75" customHeight="1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</row>
    <row r="192" ht="15.75" customHeight="1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</row>
    <row r="193" ht="15.75" customHeight="1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</row>
    <row r="194" ht="15.75" customHeight="1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</row>
    <row r="195" ht="15.75" customHeight="1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</row>
    <row r="196" ht="15.75" customHeight="1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</row>
    <row r="197" ht="15.75" customHeight="1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</row>
    <row r="198" ht="15.75" customHeight="1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</row>
    <row r="199" ht="15.75" customHeight="1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</row>
    <row r="200" ht="15.75" customHeight="1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</row>
    <row r="201" ht="15.75" customHeight="1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</row>
    <row r="202" ht="15.75" customHeight="1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</row>
    <row r="203" ht="15.75" customHeight="1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</row>
    <row r="204" ht="15.75" customHeight="1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</row>
    <row r="205" ht="15.75" customHeight="1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</row>
    <row r="206" ht="15.75" customHeight="1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</row>
    <row r="207" ht="15.75" customHeight="1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</row>
    <row r="208" ht="15.75" customHeight="1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</row>
    <row r="209" ht="15.75" customHeight="1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</row>
    <row r="210" ht="15.75" customHeight="1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</row>
    <row r="211" ht="15.75" customHeight="1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</row>
    <row r="212" ht="15.75" customHeight="1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</row>
    <row r="213" ht="15.75" customHeight="1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</row>
    <row r="214" ht="15.75" customHeight="1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</row>
    <row r="215" ht="15.75" customHeight="1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</row>
    <row r="216" ht="15.75" customHeight="1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</row>
    <row r="217" ht="15.75" customHeight="1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</row>
    <row r="218" ht="15.75" customHeight="1"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</row>
    <row r="219" ht="15.75" customHeight="1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</row>
    <row r="220" ht="15.75" customHeight="1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</row>
    <row r="221" ht="15.75" customHeight="1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</row>
    <row r="222" ht="15.75" customHeight="1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</row>
    <row r="223" ht="15.75" customHeight="1"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</row>
    <row r="224" ht="15.75" customHeight="1"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</row>
    <row r="225" ht="15.75" customHeight="1"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</row>
    <row r="226" ht="15.75" customHeight="1"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</row>
    <row r="227" ht="15.75" customHeight="1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</row>
    <row r="228" ht="15.75" customHeight="1"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</row>
    <row r="229" ht="15.75" customHeight="1"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</row>
    <row r="230" ht="15.75" customHeight="1"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</row>
    <row r="231" ht="15.75" customHeight="1"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</row>
    <row r="232" ht="15.75" customHeight="1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</row>
    <row r="233" ht="15.75" customHeight="1"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</row>
    <row r="234" ht="15.75" customHeight="1"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</row>
    <row r="235" ht="15.75" customHeight="1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</row>
    <row r="236" ht="15.75" customHeight="1"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</row>
    <row r="237" ht="15.75" customHeight="1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</row>
    <row r="238" ht="15.75" customHeight="1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</row>
    <row r="239" ht="15.75" customHeight="1"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</row>
    <row r="240" ht="15.75" customHeight="1"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</row>
    <row r="241" ht="15.75" customHeight="1"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</row>
    <row r="242" ht="15.75" customHeight="1"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</row>
    <row r="243" ht="15.75" customHeight="1"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</row>
    <row r="244" ht="15.75" customHeight="1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</row>
    <row r="245" ht="15.75" customHeight="1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</row>
    <row r="246" ht="15.75" customHeight="1"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</row>
    <row r="247" ht="15.75" customHeight="1"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</row>
    <row r="248" ht="15.75" customHeight="1"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</row>
    <row r="249" ht="15.75" customHeight="1"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</row>
    <row r="250" ht="15.75" customHeight="1"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</row>
    <row r="251" ht="15.75" customHeight="1"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</row>
    <row r="252" ht="15.75" customHeight="1"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</row>
    <row r="253" ht="15.75" customHeight="1"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</row>
    <row r="254" ht="15.75" customHeight="1"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</row>
    <row r="255" ht="15.75" customHeight="1"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</row>
    <row r="256" ht="15.75" customHeight="1"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</row>
    <row r="257" ht="15.75" customHeight="1"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</row>
    <row r="258" ht="15.75" customHeight="1"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</row>
    <row r="259" ht="15.75" customHeight="1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</row>
    <row r="260" ht="15.75" customHeight="1"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</row>
    <row r="261" ht="15.75" customHeight="1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</row>
    <row r="262" ht="15.75" customHeight="1"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</row>
    <row r="263" ht="15.75" customHeight="1"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</row>
    <row r="264" ht="15.75" customHeight="1"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</row>
    <row r="265" ht="15.75" customHeight="1"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</row>
    <row r="266" ht="15.75" customHeight="1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</row>
    <row r="267" ht="15.75" customHeight="1"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</row>
    <row r="268" ht="15.75" customHeight="1"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</row>
    <row r="269" ht="15.75" customHeight="1"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</row>
    <row r="270" ht="15.75" customHeight="1"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</row>
    <row r="271" ht="15.75" customHeight="1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</row>
    <row r="272" ht="15.75" customHeight="1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</row>
    <row r="273" ht="15.75" customHeight="1"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</row>
    <row r="274" ht="15.75" customHeight="1"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</row>
    <row r="275" ht="15.75" customHeight="1"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</row>
    <row r="276" ht="15.75" customHeight="1"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</row>
    <row r="277" ht="15.75" customHeight="1"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</row>
    <row r="278" ht="15.75" customHeight="1"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</row>
    <row r="279" ht="15.75" customHeight="1"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</row>
    <row r="280" ht="15.75" customHeight="1"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</row>
    <row r="281" ht="15.75" customHeight="1"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</row>
    <row r="282" ht="15.75" customHeight="1"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</row>
    <row r="283" ht="15.75" customHeight="1"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</row>
    <row r="284" ht="15.75" customHeight="1"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</row>
    <row r="285" ht="15.75" customHeight="1"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</row>
    <row r="286" ht="15.75" customHeight="1"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</row>
    <row r="287" ht="15.75" customHeight="1"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</row>
    <row r="288" ht="15.75" customHeight="1"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</row>
    <row r="289" ht="15.75" customHeight="1"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</row>
    <row r="290" ht="15.75" customHeight="1"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</row>
    <row r="291" ht="15.75" customHeight="1"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</row>
    <row r="292" ht="15.75" customHeight="1"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</row>
    <row r="293" ht="15.75" customHeight="1"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</row>
    <row r="294" ht="15.75" customHeight="1"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</row>
    <row r="295" ht="15.75" customHeight="1"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</row>
    <row r="296" ht="15.75" customHeight="1"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</row>
    <row r="297" ht="15.75" customHeight="1"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</row>
    <row r="298" ht="15.75" customHeight="1"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</row>
    <row r="299" ht="15.75" customHeight="1"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</row>
    <row r="300" ht="15.75" customHeight="1"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</row>
    <row r="301" ht="15.75" customHeight="1"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</row>
    <row r="302" ht="15.75" customHeight="1"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</row>
    <row r="303" ht="15.75" customHeight="1"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</row>
    <row r="304" ht="15.75" customHeight="1"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</row>
    <row r="305" ht="15.75" customHeight="1"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</row>
    <row r="306" ht="15.75" customHeight="1"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</row>
    <row r="307" ht="15.75" customHeight="1"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</row>
    <row r="308" ht="15.75" customHeight="1"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</row>
    <row r="309" ht="15.75" customHeight="1"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</row>
    <row r="310" ht="15.75" customHeight="1"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</row>
    <row r="311" ht="15.75" customHeight="1"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</row>
    <row r="312" ht="15.75" customHeight="1"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</row>
    <row r="313" ht="15.75" customHeight="1"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</row>
    <row r="314" ht="15.75" customHeight="1"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</row>
    <row r="315" ht="15.75" customHeight="1"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</row>
    <row r="316" ht="15.75" customHeight="1"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</row>
    <row r="317" ht="15.75" customHeight="1"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</row>
    <row r="318" ht="15.75" customHeight="1"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</row>
    <row r="319" ht="15.75" customHeight="1"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</row>
    <row r="320" ht="15.75" customHeight="1"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</row>
    <row r="321" ht="15.75" customHeight="1"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</row>
    <row r="322" ht="15.75" customHeight="1"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</row>
    <row r="323" ht="15.75" customHeight="1"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</row>
    <row r="324" ht="15.75" customHeight="1"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</row>
    <row r="325" ht="15.75" customHeight="1"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</row>
    <row r="326" ht="15.75" customHeight="1"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</row>
    <row r="327" ht="15.75" customHeight="1"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</row>
    <row r="328" ht="15.75" customHeight="1"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</row>
    <row r="329" ht="15.75" customHeight="1"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</row>
    <row r="330" ht="15.75" customHeight="1"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</row>
    <row r="331" ht="15.75" customHeight="1"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</row>
    <row r="332" ht="15.75" customHeight="1"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</row>
    <row r="333" ht="15.75" customHeight="1"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</row>
    <row r="334" ht="15.75" customHeight="1"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</row>
    <row r="335" ht="15.75" customHeight="1"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</row>
    <row r="336" ht="15.75" customHeight="1"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</row>
    <row r="337" ht="15.75" customHeight="1"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</row>
    <row r="338" ht="15.75" customHeight="1"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</row>
    <row r="339" ht="15.75" customHeight="1"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</row>
    <row r="340" ht="15.75" customHeight="1"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</row>
    <row r="341" ht="15.75" customHeight="1"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</row>
    <row r="342" ht="15.75" customHeight="1"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</row>
    <row r="343" ht="15.75" customHeight="1"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</row>
    <row r="344" ht="15.75" customHeight="1"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</row>
    <row r="345" ht="15.75" customHeight="1"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</row>
    <row r="346" ht="15.75" customHeight="1"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</row>
    <row r="347" ht="15.75" customHeight="1"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</row>
    <row r="348" ht="15.75" customHeight="1"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</row>
    <row r="349" ht="15.75" customHeight="1"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</row>
    <row r="350" ht="15.75" customHeight="1"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</row>
    <row r="351" ht="15.75" customHeight="1"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</row>
    <row r="352" ht="15.75" customHeight="1"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</row>
    <row r="353" ht="15.75" customHeight="1"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</row>
    <row r="354" ht="15.75" customHeight="1"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</row>
    <row r="355" ht="15.75" customHeight="1"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</row>
    <row r="356" ht="15.75" customHeight="1"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</row>
    <row r="357" ht="15.75" customHeight="1"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</row>
    <row r="358" ht="15.75" customHeight="1"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</row>
    <row r="359" ht="15.75" customHeight="1"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</row>
    <row r="360" ht="15.75" customHeight="1"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</row>
    <row r="361" ht="15.75" customHeight="1"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</row>
    <row r="362" ht="15.75" customHeight="1"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</row>
    <row r="363" ht="15.75" customHeight="1"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</row>
    <row r="364" ht="15.75" customHeight="1"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</row>
    <row r="365" ht="15.75" customHeight="1"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</row>
    <row r="366" ht="15.75" customHeight="1"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</row>
    <row r="367" ht="15.75" customHeight="1"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</row>
    <row r="368" ht="15.75" customHeight="1"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</row>
    <row r="369" ht="15.75" customHeight="1"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</row>
    <row r="370" ht="15.75" customHeight="1"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</row>
    <row r="371" ht="15.75" customHeight="1"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</row>
    <row r="372" ht="15.75" customHeight="1"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</row>
    <row r="373" ht="15.75" customHeight="1"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</row>
    <row r="374" ht="15.75" customHeight="1"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</row>
    <row r="375" ht="15.75" customHeight="1"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</row>
    <row r="376" ht="15.75" customHeight="1"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</row>
    <row r="377" ht="15.75" customHeight="1"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</row>
    <row r="378" ht="15.75" customHeight="1"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</row>
    <row r="379" ht="15.75" customHeight="1"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</row>
    <row r="380" ht="15.75" customHeight="1"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</row>
    <row r="381" ht="15.75" customHeight="1"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</row>
    <row r="382" ht="15.75" customHeight="1"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</row>
    <row r="383" ht="15.75" customHeight="1"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</row>
    <row r="384" ht="15.75" customHeight="1"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</row>
    <row r="385" ht="15.75" customHeight="1"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</row>
    <row r="386" ht="15.75" customHeight="1"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</row>
    <row r="387" ht="15.75" customHeight="1"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</row>
    <row r="388" ht="15.75" customHeight="1"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</row>
    <row r="389" ht="15.75" customHeight="1"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</row>
    <row r="390" ht="15.75" customHeight="1"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</row>
    <row r="391" ht="15.75" customHeight="1"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</row>
    <row r="392" ht="15.75" customHeight="1"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</row>
    <row r="393" ht="15.75" customHeight="1"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</row>
    <row r="394" ht="15.75" customHeight="1"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</row>
    <row r="395" ht="15.75" customHeight="1"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</row>
    <row r="396" ht="15.75" customHeight="1"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</row>
    <row r="397" ht="15.75" customHeight="1"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</row>
    <row r="398" ht="15.75" customHeight="1"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</row>
    <row r="399" ht="15.75" customHeight="1"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</row>
    <row r="400" ht="15.75" customHeight="1"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</row>
    <row r="401" ht="15.75" customHeight="1"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</row>
    <row r="402" ht="15.75" customHeight="1"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</row>
    <row r="403" ht="15.75" customHeight="1"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</row>
    <row r="404" ht="15.75" customHeight="1"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</row>
    <row r="405" ht="15.75" customHeight="1"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</row>
    <row r="406" ht="15.75" customHeight="1"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</row>
    <row r="407" ht="15.75" customHeight="1"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</row>
    <row r="408" ht="15.75" customHeight="1"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</row>
    <row r="409" ht="15.75" customHeight="1"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</row>
    <row r="410" ht="15.75" customHeight="1"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</row>
    <row r="411" ht="15.75" customHeight="1"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</row>
    <row r="412" ht="15.75" customHeight="1"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</row>
    <row r="413" ht="15.75" customHeight="1"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</row>
    <row r="414" ht="15.75" customHeight="1"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</row>
    <row r="415" ht="15.75" customHeight="1"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</row>
    <row r="416" ht="15.75" customHeight="1"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</row>
    <row r="417" ht="15.75" customHeight="1"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</row>
    <row r="418" ht="15.75" customHeight="1"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</row>
    <row r="419" ht="15.75" customHeight="1"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</row>
    <row r="420" ht="15.75" customHeight="1"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</row>
    <row r="421" ht="15.75" customHeight="1"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</row>
    <row r="422" ht="15.75" customHeight="1"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</row>
    <row r="423" ht="15.75" customHeight="1"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</row>
    <row r="424" ht="15.75" customHeight="1"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</row>
    <row r="425" ht="15.75" customHeight="1"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</row>
    <row r="426" ht="15.75" customHeight="1"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</row>
    <row r="427" ht="15.75" customHeight="1"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</row>
    <row r="428" ht="15.75" customHeight="1"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</row>
    <row r="429" ht="15.75" customHeight="1"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</row>
    <row r="430" ht="15.75" customHeight="1"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</row>
    <row r="431" ht="15.75" customHeight="1"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</row>
    <row r="432" ht="15.75" customHeight="1"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</row>
    <row r="433" ht="15.75" customHeight="1"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</row>
    <row r="434" ht="15.75" customHeight="1"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</row>
    <row r="435" ht="15.75" customHeight="1"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</row>
    <row r="436" ht="15.75" customHeight="1"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</row>
    <row r="437" ht="15.75" customHeight="1"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</row>
    <row r="438" ht="15.75" customHeight="1"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</row>
    <row r="439" ht="15.75" customHeight="1"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</row>
    <row r="440" ht="15.75" customHeight="1"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</row>
    <row r="441" ht="15.75" customHeight="1"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</row>
    <row r="442" ht="15.75" customHeight="1"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</row>
    <row r="443" ht="15.75" customHeight="1"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</row>
    <row r="444" ht="15.75" customHeight="1"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</row>
    <row r="445" ht="15.75" customHeight="1"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</row>
    <row r="446" ht="15.75" customHeight="1"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</row>
    <row r="447" ht="15.75" customHeight="1"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</row>
    <row r="448" ht="15.75" customHeight="1"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</row>
    <row r="449" ht="15.75" customHeight="1"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</row>
    <row r="450" ht="15.75" customHeight="1"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</row>
    <row r="451" ht="15.75" customHeight="1"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</row>
    <row r="452" ht="15.75" customHeight="1"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</row>
    <row r="453" ht="15.75" customHeight="1"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</row>
    <row r="454" ht="15.75" customHeight="1"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</row>
    <row r="455" ht="15.75" customHeight="1"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</row>
    <row r="456" ht="15.75" customHeight="1"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</row>
    <row r="457" ht="15.75" customHeight="1"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</row>
    <row r="458" ht="15.75" customHeight="1"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</row>
    <row r="459" ht="15.75" customHeight="1"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</row>
    <row r="460" ht="15.75" customHeight="1"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</row>
    <row r="461" ht="15.75" customHeight="1"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</row>
    <row r="462" ht="15.75" customHeight="1"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</row>
    <row r="463" ht="15.75" customHeight="1"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</row>
    <row r="464" ht="15.75" customHeight="1"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</row>
    <row r="465" ht="15.75" customHeight="1"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</row>
    <row r="466" ht="15.75" customHeight="1"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</row>
    <row r="467" ht="15.75" customHeight="1"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</row>
    <row r="468" ht="15.75" customHeight="1"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</row>
    <row r="469" ht="15.75" customHeight="1"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</row>
    <row r="470" ht="15.75" customHeight="1"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</row>
    <row r="471" ht="15.75" customHeight="1"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</row>
    <row r="472" ht="15.75" customHeight="1"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</row>
    <row r="473" ht="15.75" customHeight="1"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</row>
    <row r="474" ht="15.75" customHeight="1"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</row>
    <row r="475" ht="15.75" customHeight="1"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</row>
    <row r="476" ht="15.75" customHeight="1"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</row>
    <row r="477" ht="15.75" customHeight="1"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</row>
    <row r="478" ht="15.75" customHeight="1"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</row>
    <row r="479" ht="15.75" customHeight="1"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</row>
    <row r="480" ht="15.75" customHeight="1"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</row>
    <row r="481" ht="15.75" customHeight="1"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</row>
    <row r="482" ht="15.75" customHeight="1"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</row>
    <row r="483" ht="15.75" customHeight="1"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</row>
    <row r="484" ht="15.75" customHeight="1"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</row>
    <row r="485" ht="15.75" customHeight="1"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</row>
    <row r="486" ht="15.75" customHeight="1"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</row>
    <row r="487" ht="15.75" customHeight="1"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</row>
    <row r="488" ht="15.75" customHeight="1"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</row>
    <row r="489" ht="15.75" customHeight="1"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</row>
    <row r="490" ht="15.75" customHeight="1"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</row>
    <row r="491" ht="15.75" customHeight="1"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</row>
    <row r="492" ht="15.75" customHeight="1"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</row>
    <row r="493" ht="15.75" customHeight="1"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</row>
    <row r="494" ht="15.75" customHeight="1"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</row>
    <row r="495" ht="15.75" customHeight="1"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</row>
    <row r="496" ht="15.75" customHeight="1"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</row>
    <row r="497" ht="15.75" customHeight="1"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</row>
    <row r="498" ht="15.75" customHeight="1"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</row>
    <row r="499" ht="15.75" customHeight="1"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</row>
    <row r="500" ht="15.75" customHeight="1"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</row>
    <row r="501" ht="15.75" customHeight="1"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</row>
    <row r="502" ht="15.75" customHeight="1"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</row>
    <row r="503" ht="15.75" customHeight="1"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</row>
    <row r="504" ht="15.75" customHeight="1"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</row>
    <row r="505" ht="15.75" customHeight="1"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</row>
    <row r="506" ht="15.75" customHeight="1"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</row>
    <row r="507" ht="15.75" customHeight="1"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</row>
    <row r="508" ht="15.75" customHeight="1"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</row>
    <row r="509" ht="15.75" customHeight="1"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</row>
    <row r="510" ht="15.75" customHeight="1"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</row>
    <row r="511" ht="15.75" customHeight="1"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</row>
    <row r="512" ht="15.75" customHeight="1"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</row>
    <row r="513" ht="15.75" customHeight="1"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</row>
    <row r="514" ht="15.75" customHeight="1"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</row>
    <row r="515" ht="15.75" customHeight="1"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</row>
    <row r="516" ht="15.75" customHeight="1"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</row>
    <row r="517" ht="15.75" customHeight="1"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</row>
    <row r="518" ht="15.75" customHeight="1"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</row>
    <row r="519" ht="15.75" customHeight="1"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</row>
    <row r="520" ht="15.75" customHeight="1"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</row>
    <row r="521" ht="15.75" customHeight="1"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</row>
    <row r="522" ht="15.75" customHeight="1"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</row>
    <row r="523" ht="15.75" customHeight="1"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</row>
    <row r="524" ht="15.75" customHeight="1"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</row>
    <row r="525" ht="15.75" customHeight="1"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</row>
    <row r="526" ht="15.75" customHeight="1"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</row>
    <row r="527" ht="15.75" customHeight="1"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</row>
    <row r="528" ht="15.75" customHeight="1"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</row>
    <row r="529" ht="15.75" customHeight="1"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</row>
    <row r="530" ht="15.75" customHeight="1"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</row>
    <row r="531" ht="15.75" customHeight="1"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</row>
    <row r="532" ht="15.75" customHeight="1"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</row>
    <row r="533" ht="15.75" customHeight="1"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</row>
    <row r="534" ht="15.75" customHeight="1"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</row>
    <row r="535" ht="15.75" customHeight="1"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</row>
    <row r="536" ht="15.75" customHeight="1"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</row>
    <row r="537" ht="15.75" customHeight="1"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</row>
    <row r="538" ht="15.75" customHeight="1"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</row>
    <row r="539" ht="15.75" customHeight="1"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</row>
    <row r="540" ht="15.75" customHeight="1"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</row>
    <row r="541" ht="15.75" customHeight="1"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</row>
    <row r="542" ht="15.75" customHeight="1"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</row>
    <row r="543" ht="15.75" customHeight="1"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</row>
    <row r="544" ht="15.75" customHeight="1"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</row>
    <row r="545" ht="15.75" customHeight="1"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</row>
    <row r="546" ht="15.75" customHeight="1"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</row>
    <row r="547" ht="15.75" customHeight="1"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</row>
    <row r="548" ht="15.75" customHeight="1"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</row>
    <row r="549" ht="15.75" customHeight="1"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</row>
    <row r="550" ht="15.75" customHeight="1"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</row>
    <row r="551" ht="15.75" customHeight="1"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</row>
    <row r="552" ht="15.75" customHeight="1"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</row>
    <row r="553" ht="15.75" customHeight="1"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</row>
    <row r="554" ht="15.75" customHeight="1"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</row>
    <row r="555" ht="15.75" customHeight="1"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</row>
    <row r="556" ht="15.75" customHeight="1"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</row>
    <row r="557" ht="15.75" customHeight="1"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</row>
    <row r="558" ht="15.75" customHeight="1"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</row>
    <row r="559" ht="15.75" customHeight="1"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</row>
    <row r="560" ht="15.75" customHeight="1"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</row>
    <row r="561" ht="15.75" customHeight="1"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</row>
    <row r="562" ht="15.75" customHeight="1"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</row>
    <row r="563" ht="15.75" customHeight="1"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</row>
    <row r="564" ht="15.75" customHeight="1"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</row>
    <row r="565" ht="15.75" customHeight="1"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</row>
    <row r="566" ht="15.75" customHeight="1"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</row>
    <row r="567" ht="15.75" customHeight="1"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</row>
    <row r="568" ht="15.75" customHeight="1"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</row>
    <row r="569" ht="15.75" customHeight="1"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</row>
    <row r="570" ht="15.75" customHeight="1"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</row>
    <row r="571" ht="15.75" customHeight="1"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</row>
    <row r="572" ht="15.75" customHeight="1"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</row>
    <row r="573" ht="15.75" customHeight="1"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</row>
    <row r="574" ht="15.75" customHeight="1"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</row>
    <row r="575" ht="15.75" customHeight="1"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</row>
    <row r="576" ht="15.75" customHeight="1"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</row>
    <row r="577" ht="15.75" customHeight="1"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</row>
    <row r="578" ht="15.75" customHeight="1"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</row>
    <row r="579" ht="15.75" customHeight="1"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</row>
    <row r="580" ht="15.75" customHeight="1"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</row>
    <row r="581" ht="15.75" customHeight="1"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</row>
    <row r="582" ht="15.75" customHeight="1"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</row>
    <row r="583" ht="15.75" customHeight="1"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</row>
    <row r="584" ht="15.75" customHeight="1"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</row>
    <row r="585" ht="15.75" customHeight="1"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</row>
    <row r="586" ht="15.75" customHeight="1"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</row>
    <row r="587" ht="15.75" customHeight="1"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</row>
    <row r="588" ht="15.75" customHeight="1"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</row>
    <row r="589" ht="15.75" customHeight="1"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</row>
    <row r="590" ht="15.75" customHeight="1"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</row>
    <row r="591" ht="15.75" customHeight="1"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</row>
    <row r="592" ht="15.75" customHeight="1"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</row>
    <row r="593" ht="15.75" customHeight="1"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</row>
    <row r="594" ht="15.75" customHeight="1"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</row>
    <row r="595" ht="15.75" customHeight="1"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</row>
    <row r="596" ht="15.75" customHeight="1"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</row>
    <row r="597" ht="15.75" customHeight="1"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</row>
    <row r="598" ht="15.75" customHeight="1"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</row>
    <row r="599" ht="15.75" customHeight="1"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</row>
    <row r="600" ht="15.75" customHeight="1"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</row>
    <row r="601" ht="15.75" customHeight="1"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</row>
    <row r="602" ht="15.75" customHeight="1"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</row>
    <row r="603" ht="15.75" customHeight="1"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</row>
    <row r="604" ht="15.75" customHeight="1"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</row>
    <row r="605" ht="15.75" customHeight="1"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</row>
    <row r="606" ht="15.75" customHeight="1"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</row>
    <row r="607" ht="15.75" customHeight="1"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</row>
    <row r="608" ht="15.75" customHeight="1"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</row>
    <row r="609" ht="15.75" customHeight="1"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</row>
    <row r="610" ht="15.75" customHeight="1"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</row>
    <row r="611" ht="15.75" customHeight="1"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</row>
    <row r="612" ht="15.75" customHeight="1"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</row>
    <row r="613" ht="15.75" customHeight="1"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</row>
    <row r="614" ht="15.75" customHeight="1"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</row>
    <row r="615" ht="15.75" customHeight="1"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</row>
    <row r="616" ht="15.75" customHeight="1"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</row>
    <row r="617" ht="15.75" customHeight="1"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</row>
    <row r="618" ht="15.75" customHeight="1"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</row>
    <row r="619" ht="15.75" customHeight="1"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</row>
    <row r="620" ht="15.75" customHeight="1"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</row>
    <row r="621" ht="15.75" customHeight="1"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</row>
    <row r="622" ht="15.75" customHeight="1"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</row>
    <row r="623" ht="15.75" customHeight="1"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</row>
    <row r="624" ht="15.75" customHeight="1"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</row>
    <row r="625" ht="15.75" customHeight="1"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</row>
    <row r="626" ht="15.75" customHeight="1"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</row>
    <row r="627" ht="15.75" customHeight="1"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</row>
    <row r="628" ht="15.75" customHeight="1"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</row>
    <row r="629" ht="15.75" customHeight="1"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</row>
    <row r="630" ht="15.75" customHeight="1"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</row>
    <row r="631" ht="15.75" customHeight="1"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</row>
    <row r="632" ht="15.75" customHeight="1"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</row>
    <row r="633" ht="15.75" customHeight="1"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</row>
    <row r="634" ht="15.75" customHeight="1"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</row>
    <row r="635" ht="15.75" customHeight="1"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</row>
    <row r="636" ht="15.75" customHeight="1"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</row>
    <row r="637" ht="15.75" customHeight="1"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</row>
    <row r="638" ht="15.75" customHeight="1"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</row>
    <row r="639" ht="15.75" customHeight="1"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</row>
    <row r="640" ht="15.75" customHeight="1"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</row>
    <row r="641" ht="15.75" customHeight="1"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</row>
    <row r="642" ht="15.75" customHeight="1"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</row>
    <row r="643" ht="15.75" customHeight="1"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</row>
    <row r="644" ht="15.75" customHeight="1"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</row>
    <row r="645" ht="15.75" customHeight="1"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</row>
    <row r="646" ht="15.75" customHeight="1"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</row>
    <row r="647" ht="15.75" customHeight="1"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</row>
    <row r="648" ht="15.75" customHeight="1"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</row>
    <row r="649" ht="15.75" customHeight="1"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</row>
    <row r="650" ht="15.75" customHeight="1"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</row>
    <row r="651" ht="15.75" customHeight="1"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</row>
    <row r="652" ht="15.75" customHeight="1"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</row>
    <row r="653" ht="15.75" customHeight="1"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</row>
    <row r="654" ht="15.75" customHeight="1"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</row>
    <row r="655" ht="15.75" customHeight="1"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</row>
    <row r="656" ht="15.75" customHeight="1"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</row>
    <row r="657" ht="15.75" customHeight="1"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</row>
    <row r="658" ht="15.75" customHeight="1"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</row>
    <row r="659" ht="15.75" customHeight="1"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</row>
    <row r="660" ht="15.75" customHeight="1"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</row>
    <row r="661" ht="15.75" customHeight="1"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</row>
    <row r="662" ht="15.75" customHeight="1"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</row>
    <row r="663" ht="15.75" customHeight="1"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</row>
    <row r="664" ht="15.75" customHeight="1"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</row>
    <row r="665" ht="15.75" customHeight="1"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</row>
    <row r="666" ht="15.75" customHeight="1"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</row>
    <row r="667" ht="15.75" customHeight="1"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</row>
    <row r="668" ht="15.75" customHeight="1"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</row>
    <row r="669" ht="15.75" customHeight="1"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</row>
    <row r="670" ht="15.75" customHeight="1"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</row>
    <row r="671" ht="15.75" customHeight="1"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</row>
    <row r="672" ht="15.75" customHeight="1"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</row>
    <row r="673" ht="15.75" customHeight="1"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</row>
    <row r="674" ht="15.75" customHeight="1"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</row>
    <row r="675" ht="15.75" customHeight="1"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</row>
    <row r="676" ht="15.75" customHeight="1"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</row>
    <row r="677" ht="15.75" customHeight="1"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</row>
    <row r="678" ht="15.75" customHeight="1"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</row>
    <row r="679" ht="15.75" customHeight="1"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</row>
    <row r="680" ht="15.75" customHeight="1"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</row>
    <row r="681" ht="15.75" customHeight="1"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</row>
    <row r="682" ht="15.75" customHeight="1"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</row>
    <row r="683" ht="15.75" customHeight="1"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</row>
    <row r="684" ht="15.75" customHeight="1"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</row>
    <row r="685" ht="15.75" customHeight="1"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</row>
    <row r="686" ht="15.75" customHeight="1"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</row>
    <row r="687" ht="15.75" customHeight="1"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</row>
    <row r="688" ht="15.75" customHeight="1"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</row>
    <row r="689" ht="15.75" customHeight="1"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</row>
    <row r="690" ht="15.75" customHeight="1"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</row>
    <row r="691" ht="15.75" customHeight="1"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</row>
    <row r="692" ht="15.75" customHeight="1"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</row>
    <row r="693" ht="15.75" customHeight="1"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</row>
    <row r="694" ht="15.75" customHeight="1"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</row>
    <row r="695" ht="15.75" customHeight="1"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</row>
    <row r="696" ht="15.75" customHeight="1"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</row>
    <row r="697" ht="15.75" customHeight="1"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</row>
    <row r="698" ht="15.75" customHeight="1"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</row>
    <row r="699" ht="15.75" customHeight="1"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</row>
    <row r="700" ht="15.75" customHeight="1"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</row>
    <row r="701" ht="15.75" customHeight="1"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</row>
    <row r="702" ht="15.75" customHeight="1"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</row>
    <row r="703" ht="15.75" customHeight="1"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</row>
    <row r="704" ht="15.75" customHeight="1"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</row>
    <row r="705" ht="15.75" customHeight="1"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</row>
    <row r="706" ht="15.75" customHeight="1"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</row>
    <row r="707" ht="15.75" customHeight="1"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</row>
    <row r="708" ht="15.75" customHeight="1"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</row>
    <row r="709" ht="15.75" customHeight="1"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</row>
    <row r="710" ht="15.75" customHeight="1"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</row>
    <row r="711" ht="15.75" customHeight="1"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</row>
    <row r="712" ht="15.75" customHeight="1"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</row>
    <row r="713" ht="15.75" customHeight="1"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</row>
    <row r="714" ht="15.75" customHeight="1"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</row>
    <row r="715" ht="15.75" customHeight="1"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</row>
    <row r="716" ht="15.75" customHeight="1"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</row>
    <row r="717" ht="15.75" customHeight="1"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</row>
    <row r="718" ht="15.75" customHeight="1"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</row>
    <row r="719" ht="15.75" customHeight="1"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</row>
    <row r="720" ht="15.75" customHeight="1"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</row>
    <row r="721" ht="15.75" customHeight="1"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</row>
    <row r="722" ht="15.75" customHeight="1"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</row>
    <row r="723" ht="15.75" customHeight="1"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</row>
    <row r="724" ht="15.75" customHeight="1"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</row>
    <row r="725" ht="15.75" customHeight="1"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</row>
    <row r="726" ht="15.75" customHeight="1"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</row>
    <row r="727" ht="15.75" customHeight="1"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</row>
    <row r="728" ht="15.75" customHeight="1"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</row>
    <row r="729" ht="15.75" customHeight="1"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</row>
    <row r="730" ht="15.75" customHeight="1"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</row>
    <row r="731" ht="15.75" customHeight="1"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</row>
    <row r="732" ht="15.75" customHeight="1"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</row>
    <row r="733" ht="15.75" customHeight="1"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</row>
    <row r="734" ht="15.75" customHeight="1"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</row>
    <row r="735" ht="15.75" customHeight="1"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</row>
    <row r="736" ht="15.75" customHeight="1"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</row>
    <row r="737" ht="15.75" customHeight="1"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</row>
    <row r="738" ht="15.75" customHeight="1"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</row>
    <row r="739" ht="15.75" customHeight="1"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</row>
    <row r="740" ht="15.75" customHeight="1"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</row>
    <row r="741" ht="15.75" customHeight="1"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</row>
    <row r="742" ht="15.75" customHeight="1"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</row>
    <row r="743" ht="15.75" customHeight="1"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</row>
    <row r="744" ht="15.75" customHeight="1"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</row>
    <row r="745" ht="15.75" customHeight="1"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</row>
    <row r="746" ht="15.75" customHeight="1"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</row>
    <row r="747" ht="15.75" customHeight="1"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</row>
    <row r="748" ht="15.75" customHeight="1"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</row>
    <row r="749" ht="15.75" customHeight="1"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</row>
    <row r="750" ht="15.75" customHeight="1"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</row>
    <row r="751" ht="15.75" customHeight="1"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</row>
    <row r="752" ht="15.75" customHeight="1"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</row>
    <row r="753" ht="15.75" customHeight="1"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</row>
    <row r="754" ht="15.75" customHeight="1"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</row>
    <row r="755" ht="15.75" customHeight="1"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</row>
    <row r="756" ht="15.75" customHeight="1"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</row>
    <row r="757" ht="15.75" customHeight="1"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</row>
    <row r="758" ht="15.75" customHeight="1"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</row>
    <row r="759" ht="15.75" customHeight="1"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</row>
    <row r="760" ht="15.75" customHeight="1"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</row>
    <row r="761" ht="15.75" customHeight="1"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</row>
    <row r="762" ht="15.75" customHeight="1"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</row>
    <row r="763" ht="15.75" customHeight="1"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</row>
    <row r="764" ht="15.75" customHeight="1"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</row>
    <row r="765" ht="15.75" customHeight="1"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  <c r="DF765" s="20"/>
      <c r="DG765" s="20"/>
    </row>
    <row r="766" ht="15.75" customHeight="1"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</row>
    <row r="767" ht="15.75" customHeight="1"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</row>
    <row r="768" ht="15.75" customHeight="1"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</row>
    <row r="769" ht="15.75" customHeight="1"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</row>
    <row r="770" ht="15.75" customHeight="1"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</row>
    <row r="771" ht="15.75" customHeight="1"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</row>
    <row r="772" ht="15.75" customHeight="1"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</row>
    <row r="773" ht="15.75" customHeight="1"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</row>
    <row r="774" ht="15.75" customHeight="1"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</row>
    <row r="775" ht="15.75" customHeight="1"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</row>
    <row r="776" ht="15.75" customHeight="1"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</row>
    <row r="777" ht="15.75" customHeight="1"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</row>
    <row r="778" ht="15.75" customHeight="1"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</row>
    <row r="779" ht="15.75" customHeight="1"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</row>
    <row r="780" ht="15.75" customHeight="1"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</row>
    <row r="781" ht="15.75" customHeight="1"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</row>
    <row r="782" ht="15.75" customHeight="1"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</row>
    <row r="783" ht="15.75" customHeight="1"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</row>
    <row r="784" ht="15.75" customHeight="1"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</row>
    <row r="785" ht="15.75" customHeight="1"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</row>
    <row r="786" ht="15.75" customHeight="1"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</row>
    <row r="787" ht="15.75" customHeight="1"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</row>
    <row r="788" ht="15.75" customHeight="1"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</row>
    <row r="789" ht="15.75" customHeight="1"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</row>
    <row r="790" ht="15.75" customHeight="1"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</row>
    <row r="791" ht="15.75" customHeight="1"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</row>
    <row r="792" ht="15.75" customHeight="1"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</row>
    <row r="793" ht="15.75" customHeight="1"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</row>
    <row r="794" ht="15.75" customHeight="1"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</row>
    <row r="795" ht="15.75" customHeight="1"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</row>
    <row r="796" ht="15.75" customHeight="1"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</row>
    <row r="797" ht="15.75" customHeight="1"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</row>
    <row r="798" ht="15.75" customHeight="1"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</row>
    <row r="799" ht="15.75" customHeight="1"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</row>
    <row r="800" ht="15.75" customHeight="1"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</row>
    <row r="801" ht="15.75" customHeight="1"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</row>
    <row r="802" ht="15.75" customHeight="1"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</row>
    <row r="803" ht="15.75" customHeight="1"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</row>
    <row r="804" ht="15.75" customHeight="1"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</row>
    <row r="805" ht="15.75" customHeight="1"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</row>
    <row r="806" ht="15.75" customHeight="1"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</row>
    <row r="807" ht="15.75" customHeight="1"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</row>
    <row r="808" ht="15.75" customHeight="1"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</row>
    <row r="809" ht="15.75" customHeight="1"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</row>
    <row r="810" ht="15.75" customHeight="1"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</row>
    <row r="811" ht="15.75" customHeight="1"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</row>
    <row r="812" ht="15.75" customHeight="1"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</row>
    <row r="813" ht="15.75" customHeight="1"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</row>
    <row r="814" ht="15.75" customHeight="1"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</row>
    <row r="815" ht="15.75" customHeight="1"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</row>
    <row r="816" ht="15.75" customHeight="1"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</row>
    <row r="817" ht="15.75" customHeight="1"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  <c r="DF817" s="20"/>
      <c r="DG817" s="20"/>
    </row>
    <row r="818" ht="15.75" customHeight="1"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</row>
    <row r="819" ht="15.75" customHeight="1"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</row>
    <row r="820" ht="15.75" customHeight="1"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</row>
    <row r="821" ht="15.75" customHeight="1"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</row>
    <row r="822" ht="15.75" customHeight="1"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</row>
    <row r="823" ht="15.75" customHeight="1"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</row>
    <row r="824" ht="15.75" customHeight="1"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</row>
    <row r="825" ht="15.75" customHeight="1"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  <c r="DF825" s="20"/>
      <c r="DG825" s="20"/>
    </row>
    <row r="826" ht="15.75" customHeight="1"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</row>
    <row r="827" ht="15.75" customHeight="1"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</row>
    <row r="828" ht="15.75" customHeight="1"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</row>
    <row r="829" ht="15.75" customHeight="1"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</row>
    <row r="830" ht="15.75" customHeight="1"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</row>
    <row r="831" ht="15.75" customHeight="1"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</row>
    <row r="832" ht="15.75" customHeight="1"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</row>
    <row r="833" ht="15.75" customHeight="1"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</row>
    <row r="834" ht="15.75" customHeight="1"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</row>
    <row r="835" ht="15.75" customHeight="1"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  <c r="DF835" s="20"/>
      <c r="DG835" s="20"/>
    </row>
    <row r="836" ht="15.75" customHeight="1"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</row>
    <row r="837" ht="15.75" customHeight="1"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</row>
    <row r="838" ht="15.75" customHeight="1"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</row>
    <row r="839" ht="15.75" customHeight="1"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</row>
    <row r="840" ht="15.75" customHeight="1"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</row>
    <row r="841" ht="15.75" customHeight="1"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</row>
    <row r="842" ht="15.75" customHeight="1"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</row>
    <row r="843" ht="15.75" customHeight="1"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  <c r="DF843" s="20"/>
      <c r="DG843" s="20"/>
    </row>
    <row r="844" ht="15.75" customHeight="1"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</row>
    <row r="845" ht="15.75" customHeight="1"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  <c r="DF845" s="20"/>
      <c r="DG845" s="20"/>
    </row>
    <row r="846" ht="15.75" customHeight="1"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</row>
    <row r="847" ht="15.75" customHeight="1"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</row>
    <row r="848" ht="15.75" customHeight="1"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</row>
    <row r="849" ht="15.75" customHeight="1"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</row>
    <row r="850" ht="15.75" customHeight="1"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</row>
    <row r="851" ht="15.75" customHeight="1"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</row>
    <row r="852" ht="15.75" customHeight="1"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  <c r="DF852" s="20"/>
      <c r="DG852" s="20"/>
    </row>
    <row r="853" ht="15.75" customHeight="1"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  <c r="DF853" s="20"/>
      <c r="DG853" s="20"/>
    </row>
    <row r="854" ht="15.75" customHeight="1"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</row>
    <row r="855" ht="15.75" customHeight="1"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</row>
    <row r="856" ht="15.75" customHeight="1"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</row>
    <row r="857" ht="15.75" customHeight="1"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</row>
    <row r="858" ht="15.75" customHeight="1"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</row>
    <row r="859" ht="15.75" customHeight="1"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  <c r="DF859" s="20"/>
      <c r="DG859" s="20"/>
    </row>
    <row r="860" ht="15.75" customHeight="1"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</row>
    <row r="861" ht="15.75" customHeight="1"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</row>
    <row r="862" ht="15.75" customHeight="1"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</row>
    <row r="863" ht="15.75" customHeight="1"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</row>
    <row r="864" ht="15.75" customHeight="1"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</row>
    <row r="865" ht="15.75" customHeight="1"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</row>
    <row r="866" ht="15.75" customHeight="1"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</row>
    <row r="867" ht="15.75" customHeight="1"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  <c r="DF867" s="20"/>
      <c r="DG867" s="20"/>
    </row>
    <row r="868" ht="15.75" customHeight="1"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  <c r="DF868" s="20"/>
      <c r="DG868" s="20"/>
    </row>
    <row r="869" ht="15.75" customHeight="1"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  <c r="DF869" s="20"/>
      <c r="DG869" s="20"/>
    </row>
    <row r="870" ht="15.75" customHeight="1"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</row>
    <row r="871" ht="15.75" customHeight="1"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</row>
    <row r="872" ht="15.75" customHeight="1"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</row>
    <row r="873" ht="15.75" customHeight="1"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</row>
    <row r="874" ht="15.75" customHeight="1"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</row>
    <row r="875" ht="15.75" customHeight="1"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</row>
    <row r="876" ht="15.75" customHeight="1"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</row>
    <row r="877" ht="15.75" customHeight="1"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</row>
    <row r="878" ht="15.75" customHeight="1"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</row>
    <row r="879" ht="15.75" customHeight="1"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</row>
    <row r="880" ht="15.75" customHeight="1"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</row>
    <row r="881" ht="15.75" customHeight="1"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</row>
    <row r="882" ht="15.75" customHeight="1"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  <c r="DF882" s="20"/>
      <c r="DG882" s="20"/>
    </row>
    <row r="883" ht="15.75" customHeight="1"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</row>
    <row r="884" ht="15.75" customHeight="1"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</row>
    <row r="885" ht="15.75" customHeight="1"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</row>
    <row r="886" ht="15.75" customHeight="1"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</row>
    <row r="887" ht="15.75" customHeight="1"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  <c r="DF887" s="20"/>
      <c r="DG887" s="20"/>
    </row>
    <row r="888" ht="15.75" customHeight="1"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</row>
    <row r="889" ht="15.75" customHeight="1"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</row>
    <row r="890" ht="15.75" customHeight="1"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</row>
    <row r="891" ht="15.75" customHeight="1"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</row>
    <row r="892" ht="15.75" customHeight="1"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</row>
    <row r="893" ht="15.75" customHeight="1"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</row>
    <row r="894" ht="15.75" customHeight="1"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</row>
    <row r="895" ht="15.75" customHeight="1"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</row>
    <row r="896" ht="15.75" customHeight="1"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  <c r="DF896" s="20"/>
      <c r="DG896" s="20"/>
    </row>
    <row r="897" ht="15.75" customHeight="1"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</row>
    <row r="898" ht="15.75" customHeight="1"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</row>
    <row r="899" ht="15.75" customHeight="1"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</row>
    <row r="900" ht="15.75" customHeight="1"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</row>
    <row r="901" ht="15.75" customHeight="1"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</row>
    <row r="902" ht="15.75" customHeight="1"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</row>
    <row r="903" ht="15.75" customHeight="1"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</row>
    <row r="904" ht="15.75" customHeight="1"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</row>
    <row r="905" ht="15.75" customHeight="1"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</row>
    <row r="906" ht="15.75" customHeight="1"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</row>
    <row r="907" ht="15.75" customHeight="1"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</row>
    <row r="908" ht="15.75" customHeight="1"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</row>
    <row r="909" ht="15.75" customHeight="1"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</row>
    <row r="910" ht="15.75" customHeight="1"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</row>
    <row r="911" ht="15.75" customHeight="1"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</row>
    <row r="912" ht="15.75" customHeight="1"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</row>
    <row r="913" ht="15.75" customHeight="1"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</row>
    <row r="914" ht="15.75" customHeight="1"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</row>
    <row r="915" ht="15.75" customHeight="1"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</row>
    <row r="916" ht="15.75" customHeight="1"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</row>
    <row r="917" ht="15.75" customHeight="1"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  <c r="DF917" s="20"/>
      <c r="DG917" s="20"/>
    </row>
    <row r="918" ht="15.75" customHeight="1"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</row>
    <row r="919" ht="15.75" customHeight="1"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</row>
    <row r="920" ht="15.75" customHeight="1"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</row>
    <row r="921" ht="15.75" customHeight="1"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</row>
    <row r="922" ht="15.75" customHeight="1"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</row>
    <row r="923" ht="15.75" customHeight="1"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</row>
    <row r="924" ht="15.75" customHeight="1"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</row>
    <row r="925" ht="15.75" customHeight="1"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  <c r="DF925" s="20"/>
      <c r="DG925" s="20"/>
    </row>
    <row r="926" ht="15.75" customHeight="1"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  <c r="DF926" s="20"/>
      <c r="DG926" s="20"/>
    </row>
    <row r="927" ht="15.75" customHeight="1"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</row>
    <row r="928" ht="15.75" customHeight="1"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</row>
    <row r="929" ht="15.75" customHeight="1"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</row>
    <row r="930" ht="15.75" customHeight="1"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</row>
    <row r="931" ht="15.75" customHeight="1"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</row>
    <row r="932" ht="15.75" customHeight="1"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</row>
    <row r="933" ht="15.75" customHeight="1"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</row>
    <row r="934" ht="15.75" customHeight="1"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</row>
    <row r="935" ht="15.75" customHeight="1"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</row>
    <row r="936" ht="15.75" customHeight="1"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</row>
    <row r="937" ht="15.75" customHeight="1"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</row>
    <row r="938" ht="15.75" customHeight="1"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</row>
    <row r="939" ht="15.75" customHeight="1"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</row>
    <row r="940" ht="15.75" customHeight="1"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</row>
    <row r="941" ht="15.75" customHeight="1"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</row>
    <row r="942" ht="15.75" customHeight="1"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</row>
    <row r="943" ht="15.75" customHeight="1"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</row>
    <row r="944" ht="15.75" customHeight="1"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</row>
    <row r="945" ht="15.75" customHeight="1"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</row>
    <row r="946" ht="15.75" customHeight="1"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</row>
    <row r="947" ht="15.75" customHeight="1"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</row>
    <row r="948" ht="15.75" customHeight="1"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</row>
    <row r="949" ht="15.75" customHeight="1"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</row>
    <row r="950" ht="15.75" customHeight="1"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</row>
    <row r="951" ht="15.75" customHeight="1"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</row>
    <row r="952" ht="15.75" customHeight="1"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</row>
    <row r="953" ht="15.75" customHeight="1"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</row>
    <row r="954" ht="15.75" customHeight="1"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</row>
    <row r="955" ht="15.75" customHeight="1"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  <c r="DF955" s="20"/>
      <c r="DG955" s="20"/>
    </row>
    <row r="956" ht="15.75" customHeight="1"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</row>
    <row r="957" ht="15.75" customHeight="1"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</row>
    <row r="958" ht="15.75" customHeight="1"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</row>
    <row r="959" ht="15.75" customHeight="1"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</row>
    <row r="960" ht="15.75" customHeight="1"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</row>
    <row r="961" ht="15.75" customHeight="1"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</row>
    <row r="962" ht="15.75" customHeight="1"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</row>
    <row r="963" ht="15.75" customHeight="1"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</row>
    <row r="964" ht="15.75" customHeight="1"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</row>
    <row r="965" ht="15.75" customHeight="1"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</row>
    <row r="966" ht="15.75" customHeight="1"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</row>
    <row r="967" ht="15.75" customHeight="1"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</row>
    <row r="968" ht="15.75" customHeight="1"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</row>
    <row r="969" ht="15.75" customHeight="1"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</row>
    <row r="970" ht="15.75" customHeight="1"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</row>
    <row r="971" ht="15.75" customHeight="1"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</row>
    <row r="972" ht="15.75" customHeight="1"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</row>
    <row r="973" ht="15.75" customHeight="1"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</row>
    <row r="974" ht="15.75" customHeight="1"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</row>
    <row r="975" ht="15.75" customHeight="1"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</row>
    <row r="976" ht="15.75" customHeight="1"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</row>
    <row r="977" ht="15.75" customHeight="1"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</row>
    <row r="978" ht="15.75" customHeight="1"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  <c r="DF978" s="20"/>
      <c r="DG978" s="20"/>
    </row>
    <row r="979" ht="15.75" customHeight="1"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</row>
    <row r="980" ht="15.75" customHeight="1"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</row>
    <row r="981" ht="15.75" customHeight="1"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</row>
    <row r="982" ht="15.75" customHeight="1"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</row>
    <row r="983" ht="15.75" customHeight="1"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</row>
    <row r="984" ht="15.75" customHeight="1"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</row>
    <row r="985" ht="15.75" customHeight="1"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</row>
    <row r="986" ht="15.75" customHeight="1"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</row>
    <row r="987" ht="15.75" customHeight="1"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</row>
    <row r="988" ht="15.75" customHeight="1"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</row>
    <row r="989" ht="15.75" customHeight="1"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</row>
    <row r="990" ht="15.75" customHeight="1"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</row>
    <row r="991" ht="15.75" customHeight="1"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</row>
    <row r="992" ht="15.75" customHeight="1"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</row>
    <row r="993" ht="15.75" customHeight="1"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</row>
    <row r="994" ht="15.75" customHeight="1"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</row>
    <row r="995" ht="15.75" customHeight="1"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  <c r="DF995" s="20"/>
      <c r="DG995" s="20"/>
    </row>
    <row r="996" ht="15.75" customHeight="1"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</row>
    <row r="997" ht="15.75" customHeight="1"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</row>
    <row r="998" ht="15.75" customHeight="1"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</row>
    <row r="999" ht="15.75" customHeight="1"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</row>
    <row r="1000" ht="15.75" customHeight="1"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41"/>
      <c r="B1" s="42" t="s">
        <v>105</v>
      </c>
      <c r="C1" s="43"/>
      <c r="D1" s="44" t="s">
        <v>106</v>
      </c>
      <c r="E1" s="43"/>
      <c r="F1" s="42" t="s">
        <v>107</v>
      </c>
      <c r="G1" s="43"/>
      <c r="H1" s="42" t="s">
        <v>108</v>
      </c>
      <c r="I1" s="43"/>
      <c r="J1" s="42" t="s">
        <v>109</v>
      </c>
      <c r="K1" s="43"/>
      <c r="L1" s="42" t="s">
        <v>110</v>
      </c>
      <c r="M1" s="43"/>
      <c r="N1" s="42" t="s">
        <v>111</v>
      </c>
      <c r="O1" s="43"/>
      <c r="P1" s="42" t="s">
        <v>112</v>
      </c>
      <c r="Q1" s="43"/>
      <c r="R1" s="45" t="s">
        <v>113</v>
      </c>
      <c r="S1" s="46"/>
    </row>
    <row r="2">
      <c r="A2" s="47" t="s">
        <v>114</v>
      </c>
      <c r="B2" s="48" t="s">
        <v>115</v>
      </c>
      <c r="C2" s="49"/>
      <c r="D2" s="48" t="s">
        <v>116</v>
      </c>
      <c r="E2" s="49"/>
      <c r="F2" s="48" t="s">
        <v>117</v>
      </c>
      <c r="G2" s="49"/>
      <c r="H2" s="48" t="s">
        <v>118</v>
      </c>
      <c r="I2" s="49"/>
      <c r="J2" s="48" t="s">
        <v>119</v>
      </c>
      <c r="K2" s="49"/>
      <c r="L2" s="48" t="s">
        <v>120</v>
      </c>
      <c r="M2" s="49"/>
      <c r="N2" s="48" t="s">
        <v>121</v>
      </c>
      <c r="O2" s="49"/>
      <c r="P2" s="48" t="s">
        <v>122</v>
      </c>
      <c r="Q2" s="49"/>
      <c r="R2" s="50" t="s">
        <v>123</v>
      </c>
      <c r="S2" s="51"/>
    </row>
    <row r="3">
      <c r="A3" s="52"/>
      <c r="B3" s="53" t="s">
        <v>124</v>
      </c>
      <c r="C3" s="54" t="s">
        <v>125</v>
      </c>
      <c r="D3" s="53" t="s">
        <v>124</v>
      </c>
      <c r="E3" s="54" t="s">
        <v>125</v>
      </c>
      <c r="F3" s="53" t="s">
        <v>124</v>
      </c>
      <c r="G3" s="54" t="s">
        <v>125</v>
      </c>
      <c r="H3" s="53" t="s">
        <v>124</v>
      </c>
      <c r="I3" s="54" t="s">
        <v>125</v>
      </c>
      <c r="J3" s="53" t="s">
        <v>124</v>
      </c>
      <c r="K3" s="54" t="s">
        <v>125</v>
      </c>
      <c r="L3" s="53" t="s">
        <v>124</v>
      </c>
      <c r="M3" s="54" t="s">
        <v>125</v>
      </c>
      <c r="N3" s="53" t="s">
        <v>124</v>
      </c>
      <c r="O3" s="54" t="s">
        <v>125</v>
      </c>
      <c r="P3" s="53" t="s">
        <v>124</v>
      </c>
      <c r="Q3" s="54" t="s">
        <v>125</v>
      </c>
      <c r="R3" s="55" t="s">
        <v>124</v>
      </c>
      <c r="S3" s="56" t="s">
        <v>126</v>
      </c>
    </row>
    <row r="4">
      <c r="A4" s="57" t="s">
        <v>17</v>
      </c>
      <c r="B4" s="58">
        <v>7.0</v>
      </c>
      <c r="C4" s="19"/>
      <c r="D4" s="58">
        <v>37.0</v>
      </c>
      <c r="E4" s="19">
        <v>4234.0</v>
      </c>
      <c r="F4" s="58">
        <v>5.0</v>
      </c>
      <c r="G4" s="19">
        <v>1797.0</v>
      </c>
      <c r="H4" s="58">
        <v>3.0</v>
      </c>
      <c r="I4" s="19">
        <v>115.0</v>
      </c>
      <c r="J4" s="58"/>
      <c r="K4" s="19"/>
      <c r="L4" s="58">
        <v>1.0</v>
      </c>
      <c r="M4" s="19">
        <v>236.0</v>
      </c>
      <c r="N4" s="58"/>
      <c r="O4" s="19"/>
      <c r="P4" s="58"/>
      <c r="Q4" s="19"/>
      <c r="R4" s="20"/>
      <c r="S4" s="59"/>
    </row>
    <row r="5">
      <c r="A5" s="57" t="s">
        <v>21</v>
      </c>
      <c r="B5" s="58">
        <v>1.0</v>
      </c>
      <c r="C5" s="19"/>
      <c r="D5" s="58">
        <v>36.0</v>
      </c>
      <c r="E5" s="19">
        <v>3343.0</v>
      </c>
      <c r="F5" s="58">
        <v>1.0</v>
      </c>
      <c r="G5" s="19">
        <v>318.0</v>
      </c>
      <c r="H5" s="58"/>
      <c r="I5" s="19"/>
      <c r="J5" s="58"/>
      <c r="K5" s="19"/>
      <c r="L5" s="58"/>
      <c r="M5" s="19"/>
      <c r="N5" s="58">
        <v>1.0</v>
      </c>
      <c r="O5" s="19">
        <v>52.0</v>
      </c>
      <c r="P5" s="58">
        <v>2.0</v>
      </c>
      <c r="Q5" s="19">
        <v>22.0</v>
      </c>
      <c r="R5" s="20"/>
      <c r="S5" s="59"/>
    </row>
    <row r="6">
      <c r="A6" s="57" t="s">
        <v>24</v>
      </c>
      <c r="B6" s="58">
        <v>25.0</v>
      </c>
      <c r="C6" s="19"/>
      <c r="D6" s="58">
        <v>28.0</v>
      </c>
      <c r="E6" s="19">
        <v>3256.0</v>
      </c>
      <c r="F6" s="58">
        <v>1.0</v>
      </c>
      <c r="G6" s="19">
        <v>583.0</v>
      </c>
      <c r="H6" s="58"/>
      <c r="I6" s="19"/>
      <c r="J6" s="58">
        <v>1.0</v>
      </c>
      <c r="K6" s="19">
        <v>772.0</v>
      </c>
      <c r="L6" s="58">
        <v>1.0</v>
      </c>
      <c r="M6" s="19">
        <v>149.0</v>
      </c>
      <c r="N6" s="58"/>
      <c r="O6" s="19"/>
      <c r="P6" s="58"/>
      <c r="Q6" s="19"/>
      <c r="R6" s="20">
        <v>1.0</v>
      </c>
      <c r="S6" s="59"/>
    </row>
    <row r="7">
      <c r="A7" s="57" t="s">
        <v>26</v>
      </c>
      <c r="B7" s="58">
        <v>20.0</v>
      </c>
      <c r="C7" s="19"/>
      <c r="D7" s="58">
        <v>36.0</v>
      </c>
      <c r="E7" s="19">
        <v>2118.0</v>
      </c>
      <c r="F7" s="58"/>
      <c r="G7" s="19"/>
      <c r="H7" s="58"/>
      <c r="I7" s="19"/>
      <c r="J7" s="58">
        <v>1.0</v>
      </c>
      <c r="K7" s="19">
        <v>702.0</v>
      </c>
      <c r="L7" s="58"/>
      <c r="M7" s="19"/>
      <c r="N7" s="58"/>
      <c r="O7" s="19"/>
      <c r="P7" s="58">
        <v>2.0</v>
      </c>
      <c r="Q7" s="19"/>
      <c r="R7" s="20"/>
      <c r="S7" s="59"/>
    </row>
    <row r="8">
      <c r="A8" s="57" t="s">
        <v>28</v>
      </c>
      <c r="B8" s="58">
        <v>18.0</v>
      </c>
      <c r="C8" s="19"/>
      <c r="D8" s="58">
        <v>4.0</v>
      </c>
      <c r="E8" s="19">
        <v>126.0</v>
      </c>
      <c r="F8" s="58">
        <v>2.0</v>
      </c>
      <c r="G8" s="19"/>
      <c r="H8" s="58"/>
      <c r="I8" s="19"/>
      <c r="J8" s="58"/>
      <c r="K8" s="19"/>
      <c r="L8" s="58">
        <v>1.0</v>
      </c>
      <c r="M8" s="19">
        <v>86.0</v>
      </c>
      <c r="N8" s="58"/>
      <c r="O8" s="19"/>
      <c r="P8" s="58">
        <v>1.0</v>
      </c>
      <c r="Q8" s="19">
        <v>5.0</v>
      </c>
      <c r="R8" s="20"/>
      <c r="S8" s="59"/>
    </row>
    <row r="9">
      <c r="A9" s="57" t="s">
        <v>30</v>
      </c>
      <c r="B9" s="58">
        <v>19.0</v>
      </c>
      <c r="C9" s="19"/>
      <c r="D9" s="58">
        <v>13.0</v>
      </c>
      <c r="E9" s="19">
        <v>439.0</v>
      </c>
      <c r="F9" s="58"/>
      <c r="G9" s="19"/>
      <c r="H9" s="58">
        <v>1.0</v>
      </c>
      <c r="I9" s="19"/>
      <c r="J9" s="58"/>
      <c r="K9" s="19"/>
      <c r="L9" s="58"/>
      <c r="M9" s="19"/>
      <c r="N9" s="58"/>
      <c r="O9" s="19"/>
      <c r="P9" s="58"/>
      <c r="Q9" s="19"/>
      <c r="R9" s="20"/>
      <c r="S9" s="59"/>
    </row>
    <row r="10">
      <c r="A10" s="57" t="s">
        <v>32</v>
      </c>
      <c r="B10" s="58">
        <v>15.0</v>
      </c>
      <c r="C10" s="19"/>
      <c r="D10" s="58">
        <v>9.0</v>
      </c>
      <c r="E10" s="19">
        <v>696.0</v>
      </c>
      <c r="F10" s="58"/>
      <c r="G10" s="19"/>
      <c r="H10" s="58">
        <v>1.0</v>
      </c>
      <c r="I10" s="19">
        <v>47.0</v>
      </c>
      <c r="J10" s="58">
        <v>2.0</v>
      </c>
      <c r="K10" s="19">
        <v>126.0</v>
      </c>
      <c r="L10" s="58"/>
      <c r="M10" s="19"/>
      <c r="N10" s="58">
        <v>2.0</v>
      </c>
      <c r="O10" s="19"/>
      <c r="P10" s="58"/>
      <c r="Q10" s="19"/>
      <c r="R10" s="20"/>
      <c r="S10" s="59"/>
    </row>
    <row r="11">
      <c r="A11" s="57" t="s">
        <v>34</v>
      </c>
      <c r="B11" s="58">
        <v>17.0</v>
      </c>
      <c r="C11" s="19"/>
      <c r="D11" s="58">
        <v>8.0</v>
      </c>
      <c r="E11" s="19">
        <v>967.0</v>
      </c>
      <c r="F11" s="58"/>
      <c r="G11" s="19"/>
      <c r="H11" s="58"/>
      <c r="I11" s="19"/>
      <c r="J11" s="58"/>
      <c r="K11" s="19"/>
      <c r="L11" s="58">
        <v>1.0</v>
      </c>
      <c r="M11" s="19">
        <v>119.0</v>
      </c>
      <c r="N11" s="58"/>
      <c r="O11" s="19"/>
      <c r="P11" s="58">
        <v>1.0</v>
      </c>
      <c r="Q11" s="19">
        <v>10.0</v>
      </c>
      <c r="R11" s="20"/>
      <c r="S11" s="59"/>
    </row>
    <row r="12">
      <c r="A12" s="57" t="s">
        <v>36</v>
      </c>
      <c r="B12" s="58">
        <v>9.0</v>
      </c>
      <c r="C12" s="19"/>
      <c r="D12" s="58">
        <v>4.0</v>
      </c>
      <c r="E12" s="19">
        <v>136.0</v>
      </c>
      <c r="F12" s="58"/>
      <c r="G12" s="19"/>
      <c r="H12" s="58">
        <v>1.0</v>
      </c>
      <c r="I12" s="19"/>
      <c r="J12" s="58"/>
      <c r="K12" s="19"/>
      <c r="L12" s="58">
        <v>1.0</v>
      </c>
      <c r="M12" s="19">
        <v>155.0</v>
      </c>
      <c r="N12" s="58">
        <v>1.0</v>
      </c>
      <c r="O12" s="19"/>
      <c r="P12" s="58"/>
      <c r="Q12" s="19"/>
      <c r="R12" s="20"/>
      <c r="S12" s="59"/>
    </row>
    <row r="13">
      <c r="A13" s="57" t="s">
        <v>38</v>
      </c>
      <c r="B13" s="58">
        <v>22.0</v>
      </c>
      <c r="C13" s="19"/>
      <c r="D13" s="58"/>
      <c r="E13" s="19"/>
      <c r="F13" s="58">
        <v>2.0</v>
      </c>
      <c r="G13" s="19"/>
      <c r="H13" s="58"/>
      <c r="I13" s="19"/>
      <c r="J13" s="58">
        <v>1.0</v>
      </c>
      <c r="K13" s="19"/>
      <c r="L13" s="58"/>
      <c r="M13" s="19"/>
      <c r="N13" s="58"/>
      <c r="O13" s="19"/>
      <c r="P13" s="58"/>
      <c r="Q13" s="19"/>
      <c r="R13" s="20"/>
      <c r="S13" s="59"/>
    </row>
    <row r="14">
      <c r="A14" s="57" t="s">
        <v>40</v>
      </c>
      <c r="B14" s="58">
        <v>3.0</v>
      </c>
      <c r="C14" s="19"/>
      <c r="D14" s="58">
        <v>6.0</v>
      </c>
      <c r="E14" s="19">
        <v>239.0</v>
      </c>
      <c r="F14" s="58">
        <v>1.0</v>
      </c>
      <c r="G14" s="19">
        <v>757.0</v>
      </c>
      <c r="H14" s="58"/>
      <c r="I14" s="19"/>
      <c r="J14" s="58"/>
      <c r="K14" s="19"/>
      <c r="L14" s="58">
        <v>1.0</v>
      </c>
      <c r="M14" s="19">
        <v>104.0</v>
      </c>
      <c r="N14" s="58"/>
      <c r="O14" s="19"/>
      <c r="P14" s="58"/>
      <c r="Q14" s="19"/>
      <c r="R14" s="20"/>
      <c r="S14" s="59"/>
    </row>
    <row r="15">
      <c r="A15" s="60" t="s">
        <v>42</v>
      </c>
      <c r="B15" s="61">
        <v>2.0</v>
      </c>
      <c r="C15" s="62"/>
      <c r="D15" s="61">
        <v>2.0</v>
      </c>
      <c r="E15" s="62"/>
      <c r="F15" s="61"/>
      <c r="G15" s="62"/>
      <c r="H15" s="61">
        <v>1.0</v>
      </c>
      <c r="I15" s="62"/>
      <c r="J15" s="61">
        <v>1.0</v>
      </c>
      <c r="K15" s="62"/>
      <c r="L15" s="61"/>
      <c r="M15" s="62"/>
      <c r="N15" s="61"/>
      <c r="O15" s="62"/>
      <c r="P15" s="61"/>
      <c r="Q15" s="62"/>
      <c r="R15" s="63"/>
      <c r="S15" s="6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P1:Q1"/>
    <mergeCell ref="R1:S1"/>
    <mergeCell ref="B1:C1"/>
    <mergeCell ref="D1:E1"/>
    <mergeCell ref="F1:G1"/>
    <mergeCell ref="H1:I1"/>
    <mergeCell ref="J1:K1"/>
    <mergeCell ref="L1:M1"/>
    <mergeCell ref="N1:O1"/>
    <mergeCell ref="P2:Q2"/>
    <mergeCell ref="R2:S2"/>
    <mergeCell ref="B2:C2"/>
    <mergeCell ref="D2:E2"/>
    <mergeCell ref="F2:G2"/>
    <mergeCell ref="H2:I2"/>
    <mergeCell ref="J2:K2"/>
    <mergeCell ref="L2:M2"/>
    <mergeCell ref="N2:O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4" width="11.38"/>
    <col customWidth="1" min="5" max="26" width="10.63"/>
  </cols>
  <sheetData>
    <row r="1">
      <c r="B1" s="22"/>
      <c r="C1" s="65"/>
      <c r="D1" s="66" t="s">
        <v>127</v>
      </c>
      <c r="E1" s="22" t="s">
        <v>128</v>
      </c>
      <c r="F1" s="22" t="s">
        <v>129</v>
      </c>
    </row>
    <row r="2">
      <c r="A2" s="21" t="s">
        <v>130</v>
      </c>
      <c r="B2" s="67" t="s">
        <v>9</v>
      </c>
      <c r="C2" s="68" t="s">
        <v>131</v>
      </c>
      <c r="D2" s="11" t="s">
        <v>132</v>
      </c>
      <c r="E2" s="30" t="s">
        <v>133</v>
      </c>
      <c r="F2" s="30" t="s">
        <v>134</v>
      </c>
    </row>
    <row r="3">
      <c r="A3" s="21">
        <v>109.0</v>
      </c>
      <c r="B3" s="19" t="s">
        <v>17</v>
      </c>
      <c r="C3" s="65">
        <v>306.0</v>
      </c>
      <c r="D3" s="20" t="s">
        <v>135</v>
      </c>
      <c r="E3" s="20">
        <v>37.0</v>
      </c>
      <c r="F3" s="20">
        <v>63.0</v>
      </c>
    </row>
    <row r="4">
      <c r="A4" s="21">
        <v>110.0</v>
      </c>
      <c r="B4" s="19" t="s">
        <v>21</v>
      </c>
      <c r="C4" s="65">
        <v>193.0</v>
      </c>
      <c r="D4" s="20" t="s">
        <v>136</v>
      </c>
      <c r="E4" s="20">
        <v>16.0</v>
      </c>
      <c r="F4" s="20">
        <v>84.0</v>
      </c>
    </row>
    <row r="5">
      <c r="A5" s="21">
        <v>111.0</v>
      </c>
      <c r="B5" s="19" t="s">
        <v>24</v>
      </c>
      <c r="C5" s="65">
        <v>232.0</v>
      </c>
      <c r="D5" s="20" t="s">
        <v>137</v>
      </c>
      <c r="E5" s="20">
        <v>30.0</v>
      </c>
      <c r="F5" s="20">
        <v>70.0</v>
      </c>
    </row>
    <row r="6">
      <c r="A6" s="21">
        <v>112.0</v>
      </c>
      <c r="B6" s="19" t="s">
        <v>26</v>
      </c>
      <c r="C6" s="65">
        <v>213.0</v>
      </c>
      <c r="D6" s="20" t="s">
        <v>137</v>
      </c>
      <c r="E6" s="20">
        <v>28.0</v>
      </c>
      <c r="F6" s="20">
        <v>72.0</v>
      </c>
    </row>
    <row r="7">
      <c r="A7" s="21">
        <v>113.0</v>
      </c>
      <c r="B7" s="19" t="s">
        <v>28</v>
      </c>
      <c r="C7" s="65">
        <v>280.0</v>
      </c>
      <c r="D7" s="20" t="s">
        <v>138</v>
      </c>
      <c r="E7" s="20">
        <v>35.0</v>
      </c>
      <c r="F7" s="20">
        <v>65.0</v>
      </c>
    </row>
    <row r="8">
      <c r="A8" s="21">
        <v>114.0</v>
      </c>
      <c r="B8" s="19" t="s">
        <v>30</v>
      </c>
      <c r="C8" s="65">
        <v>92.0</v>
      </c>
      <c r="D8" s="20" t="s">
        <v>139</v>
      </c>
      <c r="E8" s="20">
        <v>7.0</v>
      </c>
      <c r="F8" s="20">
        <v>93.0</v>
      </c>
    </row>
    <row r="9">
      <c r="A9" s="21">
        <v>115.0</v>
      </c>
      <c r="B9" s="19" t="s">
        <v>32</v>
      </c>
      <c r="C9" s="65">
        <v>395.0</v>
      </c>
      <c r="D9" s="20" t="s">
        <v>140</v>
      </c>
      <c r="E9" s="20">
        <v>43.0</v>
      </c>
      <c r="F9" s="20">
        <v>57.0</v>
      </c>
    </row>
    <row r="10">
      <c r="A10" s="21">
        <v>116.0</v>
      </c>
      <c r="B10" s="19" t="s">
        <v>34</v>
      </c>
      <c r="C10" s="65">
        <v>120.0</v>
      </c>
      <c r="D10" s="20" t="s">
        <v>139</v>
      </c>
      <c r="E10" s="20">
        <v>9.0</v>
      </c>
      <c r="F10" s="20">
        <v>91.0</v>
      </c>
    </row>
    <row r="11">
      <c r="A11" s="21">
        <v>117.0</v>
      </c>
      <c r="B11" s="19" t="s">
        <v>36</v>
      </c>
      <c r="C11" s="65">
        <v>264.0</v>
      </c>
      <c r="D11" s="20" t="s">
        <v>138</v>
      </c>
      <c r="E11" s="20">
        <v>31.0</v>
      </c>
      <c r="F11" s="20">
        <v>69.0</v>
      </c>
    </row>
    <row r="12">
      <c r="A12" s="21">
        <v>118.0</v>
      </c>
      <c r="B12" s="19" t="s">
        <v>38</v>
      </c>
      <c r="C12" s="65">
        <v>99.0</v>
      </c>
      <c r="D12" s="20" t="s">
        <v>139</v>
      </c>
      <c r="E12" s="20">
        <v>7.0</v>
      </c>
      <c r="F12" s="20">
        <v>93.0</v>
      </c>
    </row>
    <row r="13">
      <c r="A13" s="21">
        <v>119.0</v>
      </c>
      <c r="B13" s="19" t="s">
        <v>40</v>
      </c>
      <c r="C13" s="65">
        <v>341.0</v>
      </c>
      <c r="D13" s="20" t="s">
        <v>135</v>
      </c>
      <c r="E13" s="20">
        <v>39.0</v>
      </c>
      <c r="F13" s="20">
        <v>61.0</v>
      </c>
    </row>
    <row r="14">
      <c r="A14" s="21">
        <v>120.0</v>
      </c>
      <c r="B14" s="10" t="s">
        <v>42</v>
      </c>
      <c r="C14" s="69">
        <v>246.0</v>
      </c>
      <c r="D14" s="11" t="s">
        <v>137</v>
      </c>
      <c r="E14" s="11">
        <v>30.0</v>
      </c>
      <c r="F14" s="11">
        <v>70.0</v>
      </c>
    </row>
    <row r="15">
      <c r="B15" s="22"/>
      <c r="C15" s="65"/>
      <c r="D15" s="20"/>
    </row>
    <row r="16">
      <c r="B16" s="22"/>
      <c r="C16" s="65"/>
      <c r="D16" s="20"/>
    </row>
    <row r="17">
      <c r="B17" s="22"/>
      <c r="C17" s="65"/>
      <c r="D17" s="20"/>
    </row>
    <row r="18">
      <c r="B18" s="22"/>
      <c r="C18" s="65"/>
      <c r="D18" s="20"/>
    </row>
    <row r="19">
      <c r="B19" s="22"/>
      <c r="C19" s="65"/>
      <c r="D19" s="20"/>
    </row>
    <row r="20">
      <c r="B20" s="22"/>
      <c r="C20" s="65"/>
      <c r="D20" s="20"/>
    </row>
    <row r="21" ht="15.75" customHeight="1">
      <c r="B21" s="22"/>
      <c r="C21" s="65"/>
      <c r="D21" s="20"/>
    </row>
    <row r="22" ht="15.75" customHeight="1">
      <c r="B22" s="22"/>
      <c r="C22" s="65"/>
      <c r="D22" s="20"/>
    </row>
    <row r="23" ht="15.75" customHeight="1">
      <c r="B23" s="22"/>
      <c r="C23" s="65"/>
      <c r="D23" s="20"/>
    </row>
    <row r="24" ht="15.75" customHeight="1">
      <c r="B24" s="22"/>
      <c r="C24" s="65"/>
      <c r="D24" s="20"/>
    </row>
    <row r="25" ht="15.75" customHeight="1">
      <c r="B25" s="22"/>
      <c r="C25" s="65"/>
      <c r="D25" s="20"/>
    </row>
    <row r="26" ht="15.75" customHeight="1">
      <c r="B26" s="22"/>
      <c r="C26" s="65"/>
      <c r="D26" s="20"/>
    </row>
    <row r="27" ht="15.75" customHeight="1">
      <c r="B27" s="22"/>
      <c r="C27" s="65"/>
      <c r="D27" s="20"/>
    </row>
    <row r="28" ht="15.75" customHeight="1">
      <c r="B28" s="22"/>
      <c r="C28" s="65"/>
      <c r="D28" s="20"/>
    </row>
    <row r="29" ht="15.75" customHeight="1">
      <c r="B29" s="22"/>
      <c r="C29" s="65"/>
      <c r="D29" s="20"/>
    </row>
    <row r="30" ht="15.75" customHeight="1">
      <c r="B30" s="22"/>
      <c r="C30" s="65"/>
      <c r="D30" s="20"/>
    </row>
    <row r="31" ht="15.75" customHeight="1">
      <c r="B31" s="22"/>
      <c r="C31" s="65"/>
      <c r="D31" s="20"/>
    </row>
    <row r="32" ht="15.75" customHeight="1">
      <c r="B32" s="22"/>
      <c r="C32" s="65"/>
      <c r="D32" s="20"/>
    </row>
    <row r="33" ht="15.75" customHeight="1">
      <c r="B33" s="22"/>
      <c r="C33" s="65"/>
      <c r="D33" s="20"/>
    </row>
    <row r="34" ht="15.75" customHeight="1">
      <c r="B34" s="22"/>
      <c r="C34" s="65"/>
      <c r="D34" s="20"/>
    </row>
    <row r="35" ht="15.75" customHeight="1">
      <c r="B35" s="22"/>
      <c r="C35" s="65"/>
      <c r="D35" s="20"/>
    </row>
    <row r="36" ht="15.75" customHeight="1">
      <c r="B36" s="22"/>
      <c r="C36" s="65"/>
      <c r="D36" s="20"/>
    </row>
    <row r="37" ht="15.75" customHeight="1">
      <c r="B37" s="22"/>
      <c r="C37" s="65"/>
      <c r="D37" s="20"/>
    </row>
    <row r="38" ht="15.75" customHeight="1">
      <c r="B38" s="22"/>
      <c r="C38" s="65"/>
      <c r="D38" s="20"/>
    </row>
    <row r="39" ht="15.75" customHeight="1">
      <c r="B39" s="22"/>
      <c r="C39" s="65"/>
      <c r="D39" s="20"/>
    </row>
    <row r="40" ht="15.75" customHeight="1">
      <c r="B40" s="22"/>
      <c r="C40" s="65"/>
      <c r="D40" s="20"/>
    </row>
    <row r="41" ht="15.75" customHeight="1">
      <c r="B41" s="22"/>
      <c r="C41" s="65"/>
      <c r="D41" s="20"/>
    </row>
    <row r="42" ht="15.75" customHeight="1">
      <c r="B42" s="22"/>
      <c r="C42" s="65"/>
      <c r="D42" s="20"/>
    </row>
    <row r="43" ht="15.75" customHeight="1">
      <c r="B43" s="22"/>
      <c r="C43" s="65"/>
      <c r="D43" s="20"/>
    </row>
    <row r="44" ht="15.75" customHeight="1">
      <c r="B44" s="22"/>
      <c r="C44" s="65"/>
      <c r="D44" s="20"/>
    </row>
    <row r="45" ht="15.75" customHeight="1">
      <c r="B45" s="22"/>
      <c r="C45" s="65"/>
      <c r="D45" s="20"/>
    </row>
    <row r="46" ht="15.75" customHeight="1">
      <c r="B46" s="22"/>
      <c r="C46" s="65"/>
      <c r="D46" s="20"/>
    </row>
    <row r="47" ht="15.75" customHeight="1">
      <c r="B47" s="22"/>
      <c r="C47" s="65"/>
      <c r="D47" s="20"/>
    </row>
    <row r="48" ht="15.75" customHeight="1">
      <c r="B48" s="22"/>
      <c r="C48" s="65"/>
      <c r="D48" s="20"/>
    </row>
    <row r="49" ht="15.75" customHeight="1">
      <c r="B49" s="22"/>
      <c r="C49" s="65"/>
      <c r="D49" s="20"/>
    </row>
    <row r="50" ht="15.75" customHeight="1">
      <c r="B50" s="22"/>
      <c r="C50" s="65"/>
      <c r="D50" s="20"/>
    </row>
    <row r="51" ht="15.75" customHeight="1">
      <c r="B51" s="22"/>
      <c r="C51" s="65"/>
      <c r="D51" s="20"/>
    </row>
    <row r="52" ht="15.75" customHeight="1">
      <c r="B52" s="22"/>
      <c r="C52" s="65"/>
      <c r="D52" s="20"/>
    </row>
    <row r="53" ht="15.75" customHeight="1">
      <c r="B53" s="22"/>
      <c r="C53" s="65"/>
      <c r="D53" s="20"/>
    </row>
    <row r="54" ht="15.75" customHeight="1">
      <c r="B54" s="22"/>
      <c r="C54" s="65"/>
      <c r="D54" s="20"/>
    </row>
    <row r="55" ht="15.75" customHeight="1">
      <c r="B55" s="22"/>
      <c r="C55" s="65"/>
      <c r="D55" s="20"/>
    </row>
    <row r="56" ht="15.75" customHeight="1">
      <c r="B56" s="22"/>
      <c r="C56" s="65"/>
      <c r="D56" s="20"/>
    </row>
    <row r="57" ht="15.75" customHeight="1">
      <c r="B57" s="22"/>
      <c r="C57" s="65"/>
      <c r="D57" s="20"/>
    </row>
    <row r="58" ht="15.75" customHeight="1">
      <c r="B58" s="22"/>
      <c r="C58" s="65"/>
      <c r="D58" s="20"/>
    </row>
    <row r="59" ht="15.75" customHeight="1">
      <c r="B59" s="22"/>
      <c r="C59" s="65"/>
      <c r="D59" s="20"/>
    </row>
    <row r="60" ht="15.75" customHeight="1">
      <c r="B60" s="22"/>
      <c r="C60" s="65"/>
      <c r="D60" s="20"/>
    </row>
    <row r="61" ht="15.75" customHeight="1">
      <c r="B61" s="22"/>
      <c r="C61" s="65"/>
      <c r="D61" s="20"/>
    </row>
    <row r="62" ht="15.75" customHeight="1">
      <c r="B62" s="22"/>
      <c r="C62" s="65"/>
      <c r="D62" s="20"/>
    </row>
    <row r="63" ht="15.75" customHeight="1">
      <c r="B63" s="22"/>
      <c r="C63" s="65"/>
      <c r="D63" s="20"/>
    </row>
    <row r="64" ht="15.75" customHeight="1">
      <c r="B64" s="22"/>
      <c r="C64" s="65"/>
      <c r="D64" s="20"/>
    </row>
    <row r="65" ht="15.75" customHeight="1">
      <c r="B65" s="22"/>
      <c r="C65" s="65"/>
      <c r="D65" s="20"/>
    </row>
    <row r="66" ht="15.75" customHeight="1">
      <c r="B66" s="22"/>
      <c r="C66" s="65"/>
      <c r="D66" s="20"/>
    </row>
    <row r="67" ht="15.75" customHeight="1">
      <c r="B67" s="22"/>
      <c r="C67" s="65"/>
      <c r="D67" s="20"/>
    </row>
    <row r="68" ht="15.75" customHeight="1">
      <c r="B68" s="22"/>
      <c r="C68" s="65"/>
      <c r="D68" s="20"/>
    </row>
    <row r="69" ht="15.75" customHeight="1">
      <c r="B69" s="22"/>
      <c r="C69" s="65"/>
      <c r="D69" s="20"/>
    </row>
    <row r="70" ht="15.75" customHeight="1">
      <c r="B70" s="22"/>
      <c r="C70" s="65"/>
      <c r="D70" s="20"/>
    </row>
    <row r="71" ht="15.75" customHeight="1">
      <c r="B71" s="22"/>
      <c r="C71" s="65"/>
      <c r="D71" s="20"/>
    </row>
    <row r="72" ht="15.75" customHeight="1">
      <c r="B72" s="22"/>
      <c r="C72" s="65"/>
      <c r="D72" s="20"/>
    </row>
    <row r="73" ht="15.75" customHeight="1">
      <c r="B73" s="22"/>
      <c r="C73" s="65"/>
      <c r="D73" s="20"/>
    </row>
    <row r="74" ht="15.75" customHeight="1">
      <c r="B74" s="22"/>
      <c r="C74" s="65"/>
      <c r="D74" s="20"/>
    </row>
    <row r="75" ht="15.75" customHeight="1">
      <c r="B75" s="22"/>
      <c r="C75" s="65"/>
      <c r="D75" s="20"/>
    </row>
    <row r="76" ht="15.75" customHeight="1">
      <c r="B76" s="22"/>
      <c r="C76" s="65"/>
      <c r="D76" s="20"/>
    </row>
    <row r="77" ht="15.75" customHeight="1">
      <c r="B77" s="22"/>
      <c r="C77" s="65"/>
      <c r="D77" s="20"/>
    </row>
    <row r="78" ht="15.75" customHeight="1">
      <c r="B78" s="22"/>
      <c r="C78" s="65"/>
      <c r="D78" s="20"/>
    </row>
    <row r="79" ht="15.75" customHeight="1">
      <c r="B79" s="22"/>
      <c r="C79" s="65"/>
      <c r="D79" s="20"/>
    </row>
    <row r="80" ht="15.75" customHeight="1">
      <c r="B80" s="22"/>
      <c r="C80" s="65"/>
      <c r="D80" s="20"/>
    </row>
    <row r="81" ht="15.75" customHeight="1">
      <c r="B81" s="22"/>
      <c r="C81" s="65"/>
      <c r="D81" s="20"/>
    </row>
    <row r="82" ht="15.75" customHeight="1">
      <c r="B82" s="22"/>
      <c r="C82" s="65"/>
      <c r="D82" s="20"/>
    </row>
    <row r="83" ht="15.75" customHeight="1">
      <c r="B83" s="22"/>
      <c r="C83" s="65"/>
      <c r="D83" s="20"/>
    </row>
    <row r="84" ht="15.75" customHeight="1">
      <c r="B84" s="22"/>
      <c r="C84" s="65"/>
      <c r="D84" s="20"/>
    </row>
    <row r="85" ht="15.75" customHeight="1">
      <c r="B85" s="22"/>
      <c r="C85" s="65"/>
      <c r="D85" s="20"/>
    </row>
    <row r="86" ht="15.75" customHeight="1">
      <c r="B86" s="22"/>
      <c r="C86" s="65"/>
      <c r="D86" s="20"/>
    </row>
    <row r="87" ht="15.75" customHeight="1">
      <c r="B87" s="22"/>
      <c r="C87" s="65"/>
      <c r="D87" s="20"/>
    </row>
    <row r="88" ht="15.75" customHeight="1">
      <c r="B88" s="22"/>
      <c r="C88" s="65"/>
      <c r="D88" s="20"/>
    </row>
    <row r="89" ht="15.75" customHeight="1">
      <c r="B89" s="22"/>
      <c r="C89" s="65"/>
      <c r="D89" s="20"/>
    </row>
    <row r="90" ht="15.75" customHeight="1">
      <c r="B90" s="22"/>
      <c r="C90" s="65"/>
      <c r="D90" s="20"/>
    </row>
    <row r="91" ht="15.75" customHeight="1">
      <c r="B91" s="22"/>
      <c r="C91" s="65"/>
      <c r="D91" s="20"/>
    </row>
    <row r="92" ht="15.75" customHeight="1">
      <c r="B92" s="22"/>
      <c r="C92" s="65"/>
      <c r="D92" s="20"/>
    </row>
    <row r="93" ht="15.75" customHeight="1">
      <c r="B93" s="22"/>
      <c r="C93" s="65"/>
      <c r="D93" s="20"/>
    </row>
    <row r="94" ht="15.75" customHeight="1">
      <c r="B94" s="22"/>
      <c r="C94" s="65"/>
      <c r="D94" s="20"/>
    </row>
    <row r="95" ht="15.75" customHeight="1">
      <c r="B95" s="22"/>
      <c r="C95" s="65"/>
      <c r="D95" s="20"/>
    </row>
    <row r="96" ht="15.75" customHeight="1">
      <c r="B96" s="22"/>
      <c r="C96" s="65"/>
      <c r="D96" s="20"/>
    </row>
    <row r="97" ht="15.75" customHeight="1">
      <c r="B97" s="22"/>
      <c r="C97" s="65"/>
      <c r="D97" s="20"/>
    </row>
    <row r="98" ht="15.75" customHeight="1">
      <c r="B98" s="22"/>
      <c r="C98" s="65"/>
      <c r="D98" s="20"/>
    </row>
    <row r="99" ht="15.75" customHeight="1">
      <c r="B99" s="22"/>
      <c r="C99" s="65"/>
      <c r="D99" s="20"/>
    </row>
    <row r="100" ht="15.75" customHeight="1">
      <c r="B100" s="22"/>
      <c r="C100" s="65"/>
      <c r="D100" s="20"/>
    </row>
    <row r="101" ht="15.75" customHeight="1">
      <c r="B101" s="22"/>
      <c r="C101" s="65"/>
      <c r="D101" s="20"/>
    </row>
    <row r="102" ht="15.75" customHeight="1">
      <c r="B102" s="22"/>
      <c r="C102" s="65"/>
      <c r="D102" s="20"/>
    </row>
    <row r="103" ht="15.75" customHeight="1">
      <c r="B103" s="22"/>
      <c r="C103" s="65"/>
      <c r="D103" s="20"/>
    </row>
    <row r="104" ht="15.75" customHeight="1">
      <c r="B104" s="22"/>
      <c r="C104" s="65"/>
      <c r="D104" s="20"/>
    </row>
    <row r="105" ht="15.75" customHeight="1">
      <c r="B105" s="22"/>
      <c r="C105" s="65"/>
      <c r="D105" s="20"/>
    </row>
    <row r="106" ht="15.75" customHeight="1">
      <c r="B106" s="22"/>
      <c r="C106" s="65"/>
      <c r="D106" s="20"/>
    </row>
    <row r="107" ht="15.75" customHeight="1">
      <c r="B107" s="22"/>
      <c r="C107" s="65"/>
      <c r="D107" s="20"/>
    </row>
    <row r="108" ht="15.75" customHeight="1">
      <c r="B108" s="22"/>
      <c r="C108" s="65"/>
      <c r="D108" s="20"/>
    </row>
    <row r="109" ht="15.75" customHeight="1">
      <c r="B109" s="22"/>
      <c r="C109" s="65"/>
      <c r="D109" s="20"/>
    </row>
    <row r="110" ht="15.75" customHeight="1">
      <c r="B110" s="22"/>
      <c r="C110" s="65"/>
      <c r="D110" s="20"/>
    </row>
    <row r="111" ht="15.75" customHeight="1">
      <c r="B111" s="22"/>
      <c r="C111" s="65"/>
      <c r="D111" s="20"/>
    </row>
    <row r="112" ht="15.75" customHeight="1">
      <c r="B112" s="22"/>
      <c r="C112" s="65"/>
      <c r="D112" s="20"/>
    </row>
    <row r="113" ht="15.75" customHeight="1">
      <c r="B113" s="22"/>
      <c r="C113" s="65"/>
      <c r="D113" s="20"/>
    </row>
    <row r="114" ht="15.75" customHeight="1">
      <c r="B114" s="22"/>
      <c r="C114" s="65"/>
      <c r="D114" s="20"/>
    </row>
    <row r="115" ht="15.75" customHeight="1">
      <c r="B115" s="22"/>
      <c r="C115" s="65"/>
      <c r="D115" s="20"/>
    </row>
    <row r="116" ht="15.75" customHeight="1">
      <c r="B116" s="22"/>
      <c r="C116" s="65"/>
      <c r="D116" s="20"/>
    </row>
    <row r="117" ht="15.75" customHeight="1">
      <c r="B117" s="22"/>
      <c r="C117" s="65"/>
      <c r="D117" s="20"/>
    </row>
    <row r="118" ht="15.75" customHeight="1">
      <c r="B118" s="22"/>
      <c r="C118" s="65"/>
      <c r="D118" s="20"/>
    </row>
    <row r="119" ht="15.75" customHeight="1">
      <c r="B119" s="22"/>
      <c r="C119" s="65"/>
      <c r="D119" s="20"/>
    </row>
    <row r="120" ht="15.75" customHeight="1">
      <c r="B120" s="22"/>
      <c r="C120" s="65"/>
      <c r="D120" s="20"/>
    </row>
    <row r="121" ht="15.75" customHeight="1">
      <c r="B121" s="22"/>
      <c r="C121" s="65"/>
      <c r="D121" s="20"/>
    </row>
    <row r="122" ht="15.75" customHeight="1">
      <c r="B122" s="22"/>
      <c r="C122" s="65"/>
      <c r="D122" s="20"/>
    </row>
    <row r="123" ht="15.75" customHeight="1">
      <c r="B123" s="22"/>
      <c r="C123" s="65"/>
      <c r="D123" s="20"/>
    </row>
    <row r="124" ht="15.75" customHeight="1">
      <c r="B124" s="22"/>
      <c r="C124" s="65"/>
      <c r="D124" s="20"/>
    </row>
    <row r="125" ht="15.75" customHeight="1">
      <c r="B125" s="22"/>
      <c r="C125" s="65"/>
      <c r="D125" s="20"/>
    </row>
    <row r="126" ht="15.75" customHeight="1">
      <c r="B126" s="22"/>
      <c r="C126" s="65"/>
      <c r="D126" s="20"/>
    </row>
    <row r="127" ht="15.75" customHeight="1">
      <c r="B127" s="22"/>
      <c r="C127" s="65"/>
      <c r="D127" s="20"/>
    </row>
    <row r="128" ht="15.75" customHeight="1">
      <c r="B128" s="22"/>
      <c r="C128" s="65"/>
      <c r="D128" s="20"/>
    </row>
    <row r="129" ht="15.75" customHeight="1">
      <c r="B129" s="22"/>
      <c r="C129" s="65"/>
      <c r="D129" s="20"/>
    </row>
    <row r="130" ht="15.75" customHeight="1">
      <c r="B130" s="22"/>
      <c r="C130" s="65"/>
      <c r="D130" s="20"/>
    </row>
    <row r="131" ht="15.75" customHeight="1">
      <c r="B131" s="22"/>
      <c r="C131" s="65"/>
      <c r="D131" s="20"/>
    </row>
    <row r="132" ht="15.75" customHeight="1">
      <c r="B132" s="22"/>
      <c r="C132" s="65"/>
      <c r="D132" s="20"/>
    </row>
    <row r="133" ht="15.75" customHeight="1">
      <c r="B133" s="22"/>
      <c r="C133" s="65"/>
      <c r="D133" s="20"/>
    </row>
    <row r="134" ht="15.75" customHeight="1">
      <c r="B134" s="22"/>
      <c r="C134" s="65"/>
      <c r="D134" s="20"/>
    </row>
    <row r="135" ht="15.75" customHeight="1">
      <c r="B135" s="22"/>
      <c r="C135" s="65"/>
      <c r="D135" s="20"/>
    </row>
    <row r="136" ht="15.75" customHeight="1">
      <c r="B136" s="22"/>
      <c r="C136" s="65"/>
      <c r="D136" s="20"/>
    </row>
    <row r="137" ht="15.75" customHeight="1">
      <c r="B137" s="22"/>
      <c r="C137" s="65"/>
      <c r="D137" s="20"/>
    </row>
    <row r="138" ht="15.75" customHeight="1">
      <c r="B138" s="22"/>
      <c r="C138" s="65"/>
      <c r="D138" s="20"/>
    </row>
    <row r="139" ht="15.75" customHeight="1">
      <c r="B139" s="22"/>
      <c r="C139" s="65"/>
      <c r="D139" s="20"/>
    </row>
    <row r="140" ht="15.75" customHeight="1">
      <c r="B140" s="22"/>
      <c r="C140" s="65"/>
      <c r="D140" s="20"/>
    </row>
    <row r="141" ht="15.75" customHeight="1">
      <c r="B141" s="22"/>
      <c r="C141" s="65"/>
      <c r="D141" s="20"/>
    </row>
    <row r="142" ht="15.75" customHeight="1">
      <c r="B142" s="22"/>
      <c r="C142" s="65"/>
      <c r="D142" s="20"/>
    </row>
    <row r="143" ht="15.75" customHeight="1">
      <c r="B143" s="22"/>
      <c r="C143" s="65"/>
      <c r="D143" s="20"/>
    </row>
    <row r="144" ht="15.75" customHeight="1">
      <c r="B144" s="22"/>
      <c r="C144" s="65"/>
      <c r="D144" s="20"/>
    </row>
    <row r="145" ht="15.75" customHeight="1">
      <c r="B145" s="22"/>
      <c r="C145" s="65"/>
      <c r="D145" s="20"/>
    </row>
    <row r="146" ht="15.75" customHeight="1">
      <c r="B146" s="22"/>
      <c r="C146" s="65"/>
      <c r="D146" s="20"/>
    </row>
    <row r="147" ht="15.75" customHeight="1">
      <c r="B147" s="22"/>
      <c r="C147" s="65"/>
      <c r="D147" s="20"/>
    </row>
    <row r="148" ht="15.75" customHeight="1">
      <c r="B148" s="22"/>
      <c r="C148" s="65"/>
      <c r="D148" s="20"/>
    </row>
    <row r="149" ht="15.75" customHeight="1">
      <c r="B149" s="22"/>
      <c r="C149" s="65"/>
      <c r="D149" s="20"/>
    </row>
    <row r="150" ht="15.75" customHeight="1">
      <c r="B150" s="22"/>
      <c r="C150" s="65"/>
      <c r="D150" s="20"/>
    </row>
    <row r="151" ht="15.75" customHeight="1">
      <c r="B151" s="22"/>
      <c r="C151" s="65"/>
      <c r="D151" s="20"/>
    </row>
    <row r="152" ht="15.75" customHeight="1">
      <c r="B152" s="22"/>
      <c r="C152" s="65"/>
      <c r="D152" s="20"/>
    </row>
    <row r="153" ht="15.75" customHeight="1">
      <c r="B153" s="22"/>
      <c r="C153" s="65"/>
      <c r="D153" s="20"/>
    </row>
    <row r="154" ht="15.75" customHeight="1">
      <c r="B154" s="22"/>
      <c r="C154" s="65"/>
      <c r="D154" s="20"/>
    </row>
    <row r="155" ht="15.75" customHeight="1">
      <c r="B155" s="22"/>
      <c r="C155" s="65"/>
      <c r="D155" s="20"/>
    </row>
    <row r="156" ht="15.75" customHeight="1">
      <c r="B156" s="22"/>
      <c r="C156" s="65"/>
      <c r="D156" s="20"/>
    </row>
    <row r="157" ht="15.75" customHeight="1">
      <c r="B157" s="22"/>
      <c r="C157" s="65"/>
      <c r="D157" s="20"/>
    </row>
    <row r="158" ht="15.75" customHeight="1">
      <c r="B158" s="22"/>
      <c r="C158" s="65"/>
      <c r="D158" s="20"/>
    </row>
    <row r="159" ht="15.75" customHeight="1">
      <c r="B159" s="22"/>
      <c r="C159" s="65"/>
      <c r="D159" s="20"/>
    </row>
    <row r="160" ht="15.75" customHeight="1">
      <c r="B160" s="22"/>
      <c r="C160" s="65"/>
      <c r="D160" s="20"/>
    </row>
    <row r="161" ht="15.75" customHeight="1">
      <c r="B161" s="22"/>
      <c r="C161" s="65"/>
      <c r="D161" s="20"/>
    </row>
    <row r="162" ht="15.75" customHeight="1">
      <c r="B162" s="22"/>
      <c r="C162" s="65"/>
      <c r="D162" s="20"/>
    </row>
    <row r="163" ht="15.75" customHeight="1">
      <c r="B163" s="22"/>
      <c r="C163" s="65"/>
      <c r="D163" s="20"/>
    </row>
    <row r="164" ht="15.75" customHeight="1">
      <c r="B164" s="22"/>
      <c r="C164" s="65"/>
      <c r="D164" s="20"/>
    </row>
    <row r="165" ht="15.75" customHeight="1">
      <c r="B165" s="22"/>
      <c r="C165" s="65"/>
      <c r="D165" s="20"/>
    </row>
    <row r="166" ht="15.75" customHeight="1">
      <c r="B166" s="22"/>
      <c r="C166" s="65"/>
      <c r="D166" s="20"/>
    </row>
    <row r="167" ht="15.75" customHeight="1">
      <c r="B167" s="22"/>
      <c r="C167" s="65"/>
      <c r="D167" s="20"/>
    </row>
    <row r="168" ht="15.75" customHeight="1">
      <c r="B168" s="22"/>
      <c r="C168" s="65"/>
      <c r="D168" s="20"/>
    </row>
    <row r="169" ht="15.75" customHeight="1">
      <c r="B169" s="22"/>
      <c r="C169" s="65"/>
      <c r="D169" s="20"/>
    </row>
    <row r="170" ht="15.75" customHeight="1">
      <c r="B170" s="22"/>
      <c r="C170" s="65"/>
      <c r="D170" s="20"/>
    </row>
    <row r="171" ht="15.75" customHeight="1">
      <c r="B171" s="22"/>
      <c r="C171" s="65"/>
      <c r="D171" s="20"/>
    </row>
    <row r="172" ht="15.75" customHeight="1">
      <c r="B172" s="22"/>
      <c r="C172" s="65"/>
      <c r="D172" s="20"/>
    </row>
    <row r="173" ht="15.75" customHeight="1">
      <c r="B173" s="22"/>
      <c r="C173" s="65"/>
      <c r="D173" s="20"/>
    </row>
    <row r="174" ht="15.75" customHeight="1">
      <c r="B174" s="22"/>
      <c r="C174" s="65"/>
      <c r="D174" s="20"/>
    </row>
    <row r="175" ht="15.75" customHeight="1">
      <c r="B175" s="22"/>
      <c r="C175" s="65"/>
      <c r="D175" s="20"/>
    </row>
    <row r="176" ht="15.75" customHeight="1">
      <c r="B176" s="22"/>
      <c r="C176" s="65"/>
      <c r="D176" s="20"/>
    </row>
    <row r="177" ht="15.75" customHeight="1">
      <c r="B177" s="22"/>
      <c r="C177" s="65"/>
      <c r="D177" s="20"/>
    </row>
    <row r="178" ht="15.75" customHeight="1">
      <c r="B178" s="22"/>
      <c r="C178" s="65"/>
      <c r="D178" s="20"/>
    </row>
    <row r="179" ht="15.75" customHeight="1">
      <c r="B179" s="22"/>
      <c r="C179" s="65"/>
      <c r="D179" s="20"/>
    </row>
    <row r="180" ht="15.75" customHeight="1">
      <c r="B180" s="22"/>
      <c r="C180" s="65"/>
      <c r="D180" s="20"/>
    </row>
    <row r="181" ht="15.75" customHeight="1">
      <c r="B181" s="22"/>
      <c r="C181" s="65"/>
      <c r="D181" s="20"/>
    </row>
    <row r="182" ht="15.75" customHeight="1">
      <c r="B182" s="22"/>
      <c r="C182" s="65"/>
      <c r="D182" s="20"/>
    </row>
    <row r="183" ht="15.75" customHeight="1">
      <c r="B183" s="22"/>
      <c r="C183" s="65"/>
      <c r="D183" s="20"/>
    </row>
    <row r="184" ht="15.75" customHeight="1">
      <c r="B184" s="22"/>
      <c r="C184" s="65"/>
      <c r="D184" s="20"/>
    </row>
    <row r="185" ht="15.75" customHeight="1">
      <c r="B185" s="22"/>
      <c r="C185" s="65"/>
      <c r="D185" s="20"/>
    </row>
    <row r="186" ht="15.75" customHeight="1">
      <c r="B186" s="22"/>
      <c r="C186" s="65"/>
      <c r="D186" s="20"/>
    </row>
    <row r="187" ht="15.75" customHeight="1">
      <c r="B187" s="22"/>
      <c r="C187" s="65"/>
      <c r="D187" s="20"/>
    </row>
    <row r="188" ht="15.75" customHeight="1">
      <c r="B188" s="22"/>
      <c r="C188" s="65"/>
      <c r="D188" s="20"/>
    </row>
    <row r="189" ht="15.75" customHeight="1">
      <c r="B189" s="22"/>
      <c r="C189" s="65"/>
      <c r="D189" s="20"/>
    </row>
    <row r="190" ht="15.75" customHeight="1">
      <c r="B190" s="22"/>
      <c r="C190" s="65"/>
      <c r="D190" s="20"/>
    </row>
    <row r="191" ht="15.75" customHeight="1">
      <c r="B191" s="22"/>
      <c r="C191" s="65"/>
      <c r="D191" s="20"/>
    </row>
    <row r="192" ht="15.75" customHeight="1">
      <c r="B192" s="22"/>
      <c r="C192" s="65"/>
      <c r="D192" s="20"/>
    </row>
    <row r="193" ht="15.75" customHeight="1">
      <c r="B193" s="22"/>
      <c r="C193" s="65"/>
      <c r="D193" s="20"/>
    </row>
    <row r="194" ht="15.75" customHeight="1">
      <c r="B194" s="22"/>
      <c r="C194" s="65"/>
      <c r="D194" s="20"/>
    </row>
    <row r="195" ht="15.75" customHeight="1">
      <c r="B195" s="22"/>
      <c r="C195" s="65"/>
      <c r="D195" s="20"/>
    </row>
    <row r="196" ht="15.75" customHeight="1">
      <c r="B196" s="22"/>
      <c r="C196" s="65"/>
      <c r="D196" s="20"/>
    </row>
    <row r="197" ht="15.75" customHeight="1">
      <c r="B197" s="22"/>
      <c r="C197" s="65"/>
      <c r="D197" s="20"/>
    </row>
    <row r="198" ht="15.75" customHeight="1">
      <c r="B198" s="22"/>
      <c r="C198" s="65"/>
      <c r="D198" s="20"/>
    </row>
    <row r="199" ht="15.75" customHeight="1">
      <c r="B199" s="22"/>
      <c r="C199" s="65"/>
      <c r="D199" s="20"/>
    </row>
    <row r="200" ht="15.75" customHeight="1">
      <c r="B200" s="22"/>
      <c r="C200" s="65"/>
      <c r="D200" s="20"/>
    </row>
    <row r="201" ht="15.75" customHeight="1">
      <c r="B201" s="22"/>
      <c r="C201" s="65"/>
      <c r="D201" s="20"/>
    </row>
    <row r="202" ht="15.75" customHeight="1">
      <c r="B202" s="22"/>
      <c r="C202" s="65"/>
      <c r="D202" s="20"/>
    </row>
    <row r="203" ht="15.75" customHeight="1">
      <c r="B203" s="22"/>
      <c r="C203" s="65"/>
      <c r="D203" s="20"/>
    </row>
    <row r="204" ht="15.75" customHeight="1">
      <c r="B204" s="22"/>
      <c r="C204" s="65"/>
      <c r="D204" s="20"/>
    </row>
    <row r="205" ht="15.75" customHeight="1">
      <c r="B205" s="22"/>
      <c r="C205" s="65"/>
      <c r="D205" s="20"/>
    </row>
    <row r="206" ht="15.75" customHeight="1">
      <c r="B206" s="22"/>
      <c r="C206" s="65"/>
      <c r="D206" s="20"/>
    </row>
    <row r="207" ht="15.75" customHeight="1">
      <c r="B207" s="22"/>
      <c r="C207" s="65"/>
      <c r="D207" s="20"/>
    </row>
    <row r="208" ht="15.75" customHeight="1">
      <c r="B208" s="22"/>
      <c r="C208" s="65"/>
      <c r="D208" s="20"/>
    </row>
    <row r="209" ht="15.75" customHeight="1">
      <c r="B209" s="22"/>
      <c r="C209" s="65"/>
      <c r="D209" s="20"/>
    </row>
    <row r="210" ht="15.75" customHeight="1">
      <c r="B210" s="22"/>
      <c r="C210" s="65"/>
      <c r="D210" s="20"/>
    </row>
    <row r="211" ht="15.75" customHeight="1">
      <c r="B211" s="22"/>
      <c r="C211" s="65"/>
      <c r="D211" s="20"/>
    </row>
    <row r="212" ht="15.75" customHeight="1">
      <c r="B212" s="22"/>
      <c r="C212" s="65"/>
      <c r="D212" s="20"/>
    </row>
    <row r="213" ht="15.75" customHeight="1">
      <c r="B213" s="22"/>
      <c r="C213" s="65"/>
      <c r="D213" s="20"/>
    </row>
    <row r="214" ht="15.75" customHeight="1">
      <c r="B214" s="22"/>
      <c r="C214" s="65"/>
      <c r="D214" s="20"/>
    </row>
    <row r="215" ht="15.75" customHeight="1">
      <c r="B215" s="22"/>
      <c r="C215" s="65"/>
      <c r="D215" s="20"/>
    </row>
    <row r="216" ht="15.75" customHeight="1">
      <c r="B216" s="22"/>
      <c r="C216" s="65"/>
      <c r="D216" s="20"/>
    </row>
    <row r="217" ht="15.75" customHeight="1">
      <c r="B217" s="22"/>
      <c r="C217" s="65"/>
      <c r="D217" s="20"/>
    </row>
    <row r="218" ht="15.75" customHeight="1">
      <c r="B218" s="22"/>
      <c r="C218" s="65"/>
      <c r="D218" s="20"/>
    </row>
    <row r="219" ht="15.75" customHeight="1">
      <c r="B219" s="22"/>
      <c r="C219" s="65"/>
      <c r="D219" s="20"/>
    </row>
    <row r="220" ht="15.75" customHeight="1">
      <c r="B220" s="22"/>
      <c r="C220" s="65"/>
      <c r="D220" s="20"/>
    </row>
    <row r="221" ht="15.75" customHeight="1">
      <c r="B221" s="22"/>
      <c r="C221" s="65"/>
      <c r="D221" s="20"/>
    </row>
    <row r="222" ht="15.75" customHeight="1">
      <c r="B222" s="22"/>
      <c r="C222" s="65"/>
      <c r="D222" s="20"/>
    </row>
    <row r="223" ht="15.75" customHeight="1">
      <c r="B223" s="22"/>
      <c r="C223" s="65"/>
      <c r="D223" s="20"/>
    </row>
    <row r="224" ht="15.75" customHeight="1">
      <c r="B224" s="22"/>
      <c r="C224" s="65"/>
      <c r="D224" s="20"/>
    </row>
    <row r="225" ht="15.75" customHeight="1">
      <c r="B225" s="22"/>
      <c r="C225" s="65"/>
      <c r="D225" s="20"/>
    </row>
    <row r="226" ht="15.75" customHeight="1">
      <c r="B226" s="22"/>
      <c r="C226" s="65"/>
      <c r="D226" s="20"/>
    </row>
    <row r="227" ht="15.75" customHeight="1">
      <c r="B227" s="22"/>
      <c r="C227" s="65"/>
      <c r="D227" s="20"/>
    </row>
    <row r="228" ht="15.75" customHeight="1">
      <c r="B228" s="22"/>
      <c r="C228" s="65"/>
      <c r="D228" s="20"/>
    </row>
    <row r="229" ht="15.75" customHeight="1">
      <c r="B229" s="22"/>
      <c r="C229" s="65"/>
      <c r="D229" s="20"/>
    </row>
    <row r="230" ht="15.75" customHeight="1">
      <c r="B230" s="22"/>
      <c r="C230" s="65"/>
      <c r="D230" s="20"/>
    </row>
    <row r="231" ht="15.75" customHeight="1">
      <c r="B231" s="22"/>
      <c r="C231" s="65"/>
      <c r="D231" s="20"/>
    </row>
    <row r="232" ht="15.75" customHeight="1">
      <c r="B232" s="22"/>
      <c r="C232" s="65"/>
      <c r="D232" s="20"/>
    </row>
    <row r="233" ht="15.75" customHeight="1">
      <c r="B233" s="22"/>
      <c r="C233" s="65"/>
      <c r="D233" s="20"/>
    </row>
    <row r="234" ht="15.75" customHeight="1">
      <c r="B234" s="22"/>
      <c r="C234" s="65"/>
      <c r="D234" s="20"/>
    </row>
    <row r="235" ht="15.75" customHeight="1">
      <c r="B235" s="22"/>
      <c r="C235" s="65"/>
      <c r="D235" s="20"/>
    </row>
    <row r="236" ht="15.75" customHeight="1">
      <c r="B236" s="22"/>
      <c r="C236" s="65"/>
      <c r="D236" s="20"/>
    </row>
    <row r="237" ht="15.75" customHeight="1">
      <c r="B237" s="22"/>
      <c r="C237" s="65"/>
      <c r="D237" s="20"/>
    </row>
    <row r="238" ht="15.75" customHeight="1">
      <c r="B238" s="22"/>
      <c r="C238" s="65"/>
      <c r="D238" s="20"/>
    </row>
    <row r="239" ht="15.75" customHeight="1">
      <c r="B239" s="22"/>
      <c r="C239" s="65"/>
      <c r="D239" s="20"/>
    </row>
    <row r="240" ht="15.75" customHeight="1">
      <c r="B240" s="22"/>
      <c r="C240" s="65"/>
      <c r="D240" s="20"/>
    </row>
    <row r="241" ht="15.75" customHeight="1">
      <c r="B241" s="22"/>
      <c r="C241" s="65"/>
      <c r="D241" s="20"/>
    </row>
    <row r="242" ht="15.75" customHeight="1">
      <c r="B242" s="22"/>
      <c r="C242" s="65"/>
      <c r="D242" s="20"/>
    </row>
    <row r="243" ht="15.75" customHeight="1">
      <c r="B243" s="22"/>
      <c r="C243" s="65"/>
      <c r="D243" s="20"/>
    </row>
    <row r="244" ht="15.75" customHeight="1">
      <c r="B244" s="22"/>
      <c r="C244" s="65"/>
      <c r="D244" s="20"/>
    </row>
    <row r="245" ht="15.75" customHeight="1">
      <c r="B245" s="22"/>
      <c r="C245" s="65"/>
      <c r="D245" s="20"/>
    </row>
    <row r="246" ht="15.75" customHeight="1">
      <c r="B246" s="22"/>
      <c r="C246" s="65"/>
      <c r="D246" s="20"/>
    </row>
    <row r="247" ht="15.75" customHeight="1">
      <c r="B247" s="22"/>
      <c r="C247" s="65"/>
      <c r="D247" s="20"/>
    </row>
    <row r="248" ht="15.75" customHeight="1">
      <c r="B248" s="22"/>
      <c r="C248" s="65"/>
      <c r="D248" s="20"/>
    </row>
    <row r="249" ht="15.75" customHeight="1">
      <c r="B249" s="22"/>
      <c r="C249" s="65"/>
      <c r="D249" s="20"/>
    </row>
    <row r="250" ht="15.75" customHeight="1">
      <c r="B250" s="22"/>
      <c r="C250" s="65"/>
      <c r="D250" s="20"/>
    </row>
    <row r="251" ht="15.75" customHeight="1">
      <c r="B251" s="22"/>
      <c r="C251" s="65"/>
      <c r="D251" s="20"/>
    </row>
    <row r="252" ht="15.75" customHeight="1">
      <c r="B252" s="22"/>
      <c r="C252" s="65"/>
      <c r="D252" s="20"/>
    </row>
    <row r="253" ht="15.75" customHeight="1">
      <c r="B253" s="22"/>
      <c r="C253" s="65"/>
      <c r="D253" s="20"/>
    </row>
    <row r="254" ht="15.75" customHeight="1">
      <c r="B254" s="22"/>
      <c r="C254" s="65"/>
      <c r="D254" s="20"/>
    </row>
    <row r="255" ht="15.75" customHeight="1">
      <c r="B255" s="22"/>
      <c r="C255" s="65"/>
      <c r="D255" s="20"/>
    </row>
    <row r="256" ht="15.75" customHeight="1">
      <c r="B256" s="22"/>
      <c r="C256" s="65"/>
      <c r="D256" s="20"/>
    </row>
    <row r="257" ht="15.75" customHeight="1">
      <c r="B257" s="22"/>
      <c r="C257" s="65"/>
      <c r="D257" s="20"/>
    </row>
    <row r="258" ht="15.75" customHeight="1">
      <c r="B258" s="22"/>
      <c r="C258" s="65"/>
      <c r="D258" s="20"/>
    </row>
    <row r="259" ht="15.75" customHeight="1">
      <c r="B259" s="22"/>
      <c r="C259" s="65"/>
      <c r="D259" s="20"/>
    </row>
    <row r="260" ht="15.75" customHeight="1">
      <c r="B260" s="22"/>
      <c r="C260" s="65"/>
      <c r="D260" s="20"/>
    </row>
    <row r="261" ht="15.75" customHeight="1">
      <c r="B261" s="22"/>
      <c r="C261" s="65"/>
      <c r="D261" s="20"/>
    </row>
    <row r="262" ht="15.75" customHeight="1">
      <c r="B262" s="22"/>
      <c r="C262" s="65"/>
      <c r="D262" s="20"/>
    </row>
    <row r="263" ht="15.75" customHeight="1">
      <c r="B263" s="22"/>
      <c r="C263" s="65"/>
      <c r="D263" s="20"/>
    </row>
    <row r="264" ht="15.75" customHeight="1">
      <c r="B264" s="22"/>
      <c r="C264" s="65"/>
      <c r="D264" s="20"/>
    </row>
    <row r="265" ht="15.75" customHeight="1">
      <c r="B265" s="22"/>
      <c r="C265" s="65"/>
      <c r="D265" s="20"/>
    </row>
    <row r="266" ht="15.75" customHeight="1">
      <c r="B266" s="22"/>
      <c r="C266" s="65"/>
      <c r="D266" s="20"/>
    </row>
    <row r="267" ht="15.75" customHeight="1">
      <c r="B267" s="22"/>
      <c r="C267" s="65"/>
      <c r="D267" s="20"/>
    </row>
    <row r="268" ht="15.75" customHeight="1">
      <c r="B268" s="22"/>
      <c r="C268" s="65"/>
      <c r="D268" s="20"/>
    </row>
    <row r="269" ht="15.75" customHeight="1">
      <c r="B269" s="22"/>
      <c r="C269" s="65"/>
      <c r="D269" s="20"/>
    </row>
    <row r="270" ht="15.75" customHeight="1">
      <c r="B270" s="22"/>
      <c r="C270" s="65"/>
      <c r="D270" s="20"/>
    </row>
    <row r="271" ht="15.75" customHeight="1">
      <c r="B271" s="22"/>
      <c r="C271" s="65"/>
      <c r="D271" s="20"/>
    </row>
    <row r="272" ht="15.75" customHeight="1">
      <c r="B272" s="22"/>
      <c r="C272" s="65"/>
      <c r="D272" s="20"/>
    </row>
    <row r="273" ht="15.75" customHeight="1">
      <c r="B273" s="22"/>
      <c r="C273" s="65"/>
      <c r="D273" s="20"/>
    </row>
    <row r="274" ht="15.75" customHeight="1">
      <c r="B274" s="22"/>
      <c r="C274" s="65"/>
      <c r="D274" s="20"/>
    </row>
    <row r="275" ht="15.75" customHeight="1">
      <c r="B275" s="22"/>
      <c r="C275" s="65"/>
      <c r="D275" s="20"/>
    </row>
    <row r="276" ht="15.75" customHeight="1">
      <c r="B276" s="22"/>
      <c r="C276" s="65"/>
      <c r="D276" s="20"/>
    </row>
    <row r="277" ht="15.75" customHeight="1">
      <c r="B277" s="22"/>
      <c r="C277" s="65"/>
      <c r="D277" s="20"/>
    </row>
    <row r="278" ht="15.75" customHeight="1">
      <c r="B278" s="22"/>
      <c r="C278" s="65"/>
      <c r="D278" s="20"/>
    </row>
    <row r="279" ht="15.75" customHeight="1">
      <c r="B279" s="22"/>
      <c r="C279" s="65"/>
      <c r="D279" s="20"/>
    </row>
    <row r="280" ht="15.75" customHeight="1">
      <c r="B280" s="22"/>
      <c r="C280" s="65"/>
      <c r="D280" s="20"/>
    </row>
    <row r="281" ht="15.75" customHeight="1">
      <c r="B281" s="22"/>
      <c r="C281" s="65"/>
      <c r="D281" s="20"/>
    </row>
    <row r="282" ht="15.75" customHeight="1">
      <c r="B282" s="22"/>
      <c r="C282" s="65"/>
      <c r="D282" s="20"/>
    </row>
    <row r="283" ht="15.75" customHeight="1">
      <c r="B283" s="22"/>
      <c r="C283" s="65"/>
      <c r="D283" s="20"/>
    </row>
    <row r="284" ht="15.75" customHeight="1">
      <c r="B284" s="22"/>
      <c r="C284" s="65"/>
      <c r="D284" s="20"/>
    </row>
    <row r="285" ht="15.75" customHeight="1">
      <c r="B285" s="22"/>
      <c r="C285" s="65"/>
      <c r="D285" s="20"/>
    </row>
    <row r="286" ht="15.75" customHeight="1">
      <c r="B286" s="22"/>
      <c r="C286" s="65"/>
      <c r="D286" s="20"/>
    </row>
    <row r="287" ht="15.75" customHeight="1">
      <c r="B287" s="22"/>
      <c r="C287" s="65"/>
      <c r="D287" s="20"/>
    </row>
    <row r="288" ht="15.75" customHeight="1">
      <c r="B288" s="22"/>
      <c r="C288" s="65"/>
      <c r="D288" s="20"/>
    </row>
    <row r="289" ht="15.75" customHeight="1">
      <c r="B289" s="22"/>
      <c r="C289" s="65"/>
      <c r="D289" s="20"/>
    </row>
    <row r="290" ht="15.75" customHeight="1">
      <c r="B290" s="22"/>
      <c r="C290" s="65"/>
      <c r="D290" s="20"/>
    </row>
    <row r="291" ht="15.75" customHeight="1">
      <c r="B291" s="22"/>
      <c r="C291" s="65"/>
      <c r="D291" s="20"/>
    </row>
    <row r="292" ht="15.75" customHeight="1">
      <c r="B292" s="22"/>
      <c r="C292" s="65"/>
      <c r="D292" s="20"/>
    </row>
    <row r="293" ht="15.75" customHeight="1">
      <c r="B293" s="22"/>
      <c r="C293" s="65"/>
      <c r="D293" s="20"/>
    </row>
    <row r="294" ht="15.75" customHeight="1">
      <c r="B294" s="22"/>
      <c r="C294" s="65"/>
      <c r="D294" s="20"/>
    </row>
    <row r="295" ht="15.75" customHeight="1">
      <c r="B295" s="22"/>
      <c r="C295" s="65"/>
      <c r="D295" s="20"/>
    </row>
    <row r="296" ht="15.75" customHeight="1">
      <c r="B296" s="22"/>
      <c r="C296" s="65"/>
      <c r="D296" s="20"/>
    </row>
    <row r="297" ht="15.75" customHeight="1">
      <c r="B297" s="22"/>
      <c r="C297" s="65"/>
      <c r="D297" s="20"/>
    </row>
    <row r="298" ht="15.75" customHeight="1">
      <c r="B298" s="22"/>
      <c r="C298" s="65"/>
      <c r="D298" s="20"/>
    </row>
    <row r="299" ht="15.75" customHeight="1">
      <c r="B299" s="22"/>
      <c r="C299" s="65"/>
      <c r="D299" s="20"/>
    </row>
    <row r="300" ht="15.75" customHeight="1">
      <c r="B300" s="22"/>
      <c r="C300" s="65"/>
      <c r="D300" s="20"/>
    </row>
    <row r="301" ht="15.75" customHeight="1">
      <c r="B301" s="22"/>
      <c r="C301" s="65"/>
      <c r="D301" s="20"/>
    </row>
    <row r="302" ht="15.75" customHeight="1">
      <c r="B302" s="22"/>
      <c r="C302" s="65"/>
      <c r="D302" s="20"/>
    </row>
    <row r="303" ht="15.75" customHeight="1">
      <c r="B303" s="22"/>
      <c r="C303" s="65"/>
      <c r="D303" s="20"/>
    </row>
    <row r="304" ht="15.75" customHeight="1">
      <c r="B304" s="22"/>
      <c r="C304" s="65"/>
      <c r="D304" s="20"/>
    </row>
    <row r="305" ht="15.75" customHeight="1">
      <c r="B305" s="22"/>
      <c r="C305" s="65"/>
      <c r="D305" s="20"/>
    </row>
    <row r="306" ht="15.75" customHeight="1">
      <c r="B306" s="22"/>
      <c r="C306" s="65"/>
      <c r="D306" s="20"/>
    </row>
    <row r="307" ht="15.75" customHeight="1">
      <c r="B307" s="22"/>
      <c r="C307" s="65"/>
      <c r="D307" s="20"/>
    </row>
    <row r="308" ht="15.75" customHeight="1">
      <c r="B308" s="22"/>
      <c r="C308" s="65"/>
      <c r="D308" s="20"/>
    </row>
    <row r="309" ht="15.75" customHeight="1">
      <c r="B309" s="22"/>
      <c r="C309" s="65"/>
      <c r="D309" s="20"/>
    </row>
    <row r="310" ht="15.75" customHeight="1">
      <c r="B310" s="22"/>
      <c r="C310" s="65"/>
      <c r="D310" s="20"/>
    </row>
    <row r="311" ht="15.75" customHeight="1">
      <c r="B311" s="22"/>
      <c r="C311" s="65"/>
      <c r="D311" s="20"/>
    </row>
    <row r="312" ht="15.75" customHeight="1">
      <c r="B312" s="22"/>
      <c r="C312" s="65"/>
      <c r="D312" s="20"/>
    </row>
    <row r="313" ht="15.75" customHeight="1">
      <c r="B313" s="22"/>
      <c r="C313" s="65"/>
      <c r="D313" s="20"/>
    </row>
    <row r="314" ht="15.75" customHeight="1">
      <c r="B314" s="22"/>
      <c r="C314" s="65"/>
      <c r="D314" s="20"/>
    </row>
    <row r="315" ht="15.75" customHeight="1">
      <c r="B315" s="22"/>
      <c r="C315" s="65"/>
      <c r="D315" s="20"/>
    </row>
    <row r="316" ht="15.75" customHeight="1">
      <c r="B316" s="22"/>
      <c r="C316" s="65"/>
      <c r="D316" s="20"/>
    </row>
    <row r="317" ht="15.75" customHeight="1">
      <c r="B317" s="22"/>
      <c r="C317" s="65"/>
      <c r="D317" s="20"/>
    </row>
    <row r="318" ht="15.75" customHeight="1">
      <c r="B318" s="22"/>
      <c r="C318" s="65"/>
      <c r="D318" s="20"/>
    </row>
    <row r="319" ht="15.75" customHeight="1">
      <c r="B319" s="22"/>
      <c r="C319" s="65"/>
      <c r="D319" s="20"/>
    </row>
    <row r="320" ht="15.75" customHeight="1">
      <c r="B320" s="22"/>
      <c r="C320" s="65"/>
      <c r="D320" s="20"/>
    </row>
    <row r="321" ht="15.75" customHeight="1">
      <c r="B321" s="22"/>
      <c r="C321" s="65"/>
      <c r="D321" s="20"/>
    </row>
    <row r="322" ht="15.75" customHeight="1">
      <c r="B322" s="22"/>
      <c r="C322" s="65"/>
      <c r="D322" s="20"/>
    </row>
    <row r="323" ht="15.75" customHeight="1">
      <c r="B323" s="22"/>
      <c r="C323" s="65"/>
      <c r="D323" s="20"/>
    </row>
    <row r="324" ht="15.75" customHeight="1">
      <c r="B324" s="22"/>
      <c r="C324" s="65"/>
      <c r="D324" s="20"/>
    </row>
    <row r="325" ht="15.75" customHeight="1">
      <c r="B325" s="22"/>
      <c r="C325" s="65"/>
      <c r="D325" s="20"/>
    </row>
    <row r="326" ht="15.75" customHeight="1">
      <c r="B326" s="22"/>
      <c r="C326" s="65"/>
      <c r="D326" s="20"/>
    </row>
    <row r="327" ht="15.75" customHeight="1">
      <c r="B327" s="22"/>
      <c r="C327" s="65"/>
      <c r="D327" s="20"/>
    </row>
    <row r="328" ht="15.75" customHeight="1">
      <c r="B328" s="22"/>
      <c r="C328" s="65"/>
      <c r="D328" s="20"/>
    </row>
    <row r="329" ht="15.75" customHeight="1">
      <c r="B329" s="22"/>
      <c r="C329" s="65"/>
      <c r="D329" s="20"/>
    </row>
    <row r="330" ht="15.75" customHeight="1">
      <c r="B330" s="22"/>
      <c r="C330" s="65"/>
      <c r="D330" s="20"/>
    </row>
    <row r="331" ht="15.75" customHeight="1">
      <c r="B331" s="22"/>
      <c r="C331" s="65"/>
      <c r="D331" s="20"/>
    </row>
    <row r="332" ht="15.75" customHeight="1">
      <c r="B332" s="22"/>
      <c r="C332" s="65"/>
      <c r="D332" s="20"/>
    </row>
    <row r="333" ht="15.75" customHeight="1">
      <c r="B333" s="22"/>
      <c r="C333" s="65"/>
      <c r="D333" s="20"/>
    </row>
    <row r="334" ht="15.75" customHeight="1">
      <c r="B334" s="22"/>
      <c r="C334" s="65"/>
      <c r="D334" s="20"/>
    </row>
    <row r="335" ht="15.75" customHeight="1">
      <c r="B335" s="22"/>
      <c r="C335" s="65"/>
      <c r="D335" s="20"/>
    </row>
    <row r="336" ht="15.75" customHeight="1">
      <c r="B336" s="22"/>
      <c r="C336" s="65"/>
      <c r="D336" s="20"/>
    </row>
    <row r="337" ht="15.75" customHeight="1">
      <c r="B337" s="22"/>
      <c r="C337" s="65"/>
      <c r="D337" s="20"/>
    </row>
    <row r="338" ht="15.75" customHeight="1">
      <c r="B338" s="22"/>
      <c r="C338" s="65"/>
      <c r="D338" s="20"/>
    </row>
    <row r="339" ht="15.75" customHeight="1">
      <c r="B339" s="22"/>
      <c r="C339" s="65"/>
      <c r="D339" s="20"/>
    </row>
    <row r="340" ht="15.75" customHeight="1">
      <c r="B340" s="22"/>
      <c r="C340" s="65"/>
      <c r="D340" s="20"/>
    </row>
    <row r="341" ht="15.75" customHeight="1">
      <c r="B341" s="22"/>
      <c r="C341" s="65"/>
      <c r="D341" s="20"/>
    </row>
    <row r="342" ht="15.75" customHeight="1">
      <c r="B342" s="22"/>
      <c r="C342" s="65"/>
      <c r="D342" s="20"/>
    </row>
    <row r="343" ht="15.75" customHeight="1">
      <c r="B343" s="22"/>
      <c r="C343" s="65"/>
      <c r="D343" s="20"/>
    </row>
    <row r="344" ht="15.75" customHeight="1">
      <c r="B344" s="22"/>
      <c r="C344" s="65"/>
      <c r="D344" s="20"/>
    </row>
    <row r="345" ht="15.75" customHeight="1">
      <c r="B345" s="22"/>
      <c r="C345" s="65"/>
      <c r="D345" s="20"/>
    </row>
    <row r="346" ht="15.75" customHeight="1">
      <c r="B346" s="22"/>
      <c r="C346" s="65"/>
      <c r="D346" s="20"/>
    </row>
    <row r="347" ht="15.75" customHeight="1">
      <c r="B347" s="22"/>
      <c r="C347" s="65"/>
      <c r="D347" s="20"/>
    </row>
    <row r="348" ht="15.75" customHeight="1">
      <c r="B348" s="22"/>
      <c r="C348" s="65"/>
      <c r="D348" s="20"/>
    </row>
    <row r="349" ht="15.75" customHeight="1">
      <c r="B349" s="22"/>
      <c r="C349" s="65"/>
      <c r="D349" s="20"/>
    </row>
    <row r="350" ht="15.75" customHeight="1">
      <c r="B350" s="22"/>
      <c r="C350" s="65"/>
      <c r="D350" s="20"/>
    </row>
    <row r="351" ht="15.75" customHeight="1">
      <c r="B351" s="22"/>
      <c r="C351" s="65"/>
      <c r="D351" s="20"/>
    </row>
    <row r="352" ht="15.75" customHeight="1">
      <c r="B352" s="22"/>
      <c r="C352" s="65"/>
      <c r="D352" s="20"/>
    </row>
    <row r="353" ht="15.75" customHeight="1">
      <c r="B353" s="22"/>
      <c r="C353" s="65"/>
      <c r="D353" s="20"/>
    </row>
    <row r="354" ht="15.75" customHeight="1">
      <c r="B354" s="22"/>
      <c r="C354" s="65"/>
      <c r="D354" s="20"/>
    </row>
    <row r="355" ht="15.75" customHeight="1">
      <c r="B355" s="22"/>
      <c r="C355" s="65"/>
      <c r="D355" s="20"/>
    </row>
    <row r="356" ht="15.75" customHeight="1">
      <c r="B356" s="22"/>
      <c r="C356" s="65"/>
      <c r="D356" s="20"/>
    </row>
    <row r="357" ht="15.75" customHeight="1">
      <c r="B357" s="22"/>
      <c r="C357" s="65"/>
      <c r="D357" s="20"/>
    </row>
    <row r="358" ht="15.75" customHeight="1">
      <c r="B358" s="22"/>
      <c r="C358" s="65"/>
      <c r="D358" s="20"/>
    </row>
    <row r="359" ht="15.75" customHeight="1">
      <c r="B359" s="22"/>
      <c r="C359" s="65"/>
      <c r="D359" s="20"/>
    </row>
    <row r="360" ht="15.75" customHeight="1">
      <c r="B360" s="22"/>
      <c r="C360" s="65"/>
      <c r="D360" s="20"/>
    </row>
    <row r="361" ht="15.75" customHeight="1">
      <c r="B361" s="22"/>
      <c r="C361" s="65"/>
      <c r="D361" s="20"/>
    </row>
    <row r="362" ht="15.75" customHeight="1">
      <c r="B362" s="22"/>
      <c r="C362" s="65"/>
      <c r="D362" s="20"/>
    </row>
    <row r="363" ht="15.75" customHeight="1">
      <c r="B363" s="22"/>
      <c r="C363" s="65"/>
      <c r="D363" s="20"/>
    </row>
    <row r="364" ht="15.75" customHeight="1">
      <c r="B364" s="22"/>
      <c r="C364" s="65"/>
      <c r="D364" s="20"/>
    </row>
    <row r="365" ht="15.75" customHeight="1">
      <c r="B365" s="22"/>
      <c r="C365" s="65"/>
      <c r="D365" s="20"/>
    </row>
    <row r="366" ht="15.75" customHeight="1">
      <c r="B366" s="22"/>
      <c r="C366" s="65"/>
      <c r="D366" s="20"/>
    </row>
    <row r="367" ht="15.75" customHeight="1">
      <c r="B367" s="22"/>
      <c r="C367" s="65"/>
      <c r="D367" s="20"/>
    </row>
    <row r="368" ht="15.75" customHeight="1">
      <c r="B368" s="22"/>
      <c r="C368" s="65"/>
      <c r="D368" s="20"/>
    </row>
    <row r="369" ht="15.75" customHeight="1">
      <c r="B369" s="22"/>
      <c r="C369" s="65"/>
      <c r="D369" s="20"/>
    </row>
    <row r="370" ht="15.75" customHeight="1">
      <c r="B370" s="22"/>
      <c r="C370" s="65"/>
      <c r="D370" s="20"/>
    </row>
    <row r="371" ht="15.75" customHeight="1">
      <c r="B371" s="22"/>
      <c r="C371" s="65"/>
      <c r="D371" s="20"/>
    </row>
    <row r="372" ht="15.75" customHeight="1">
      <c r="B372" s="22"/>
      <c r="C372" s="65"/>
      <c r="D372" s="20"/>
    </row>
    <row r="373" ht="15.75" customHeight="1">
      <c r="B373" s="22"/>
      <c r="C373" s="65"/>
      <c r="D373" s="20"/>
    </row>
    <row r="374" ht="15.75" customHeight="1">
      <c r="B374" s="22"/>
      <c r="C374" s="65"/>
      <c r="D374" s="20"/>
    </row>
    <row r="375" ht="15.75" customHeight="1">
      <c r="B375" s="22"/>
      <c r="C375" s="65"/>
      <c r="D375" s="20"/>
    </row>
    <row r="376" ht="15.75" customHeight="1">
      <c r="B376" s="22"/>
      <c r="C376" s="65"/>
      <c r="D376" s="20"/>
    </row>
    <row r="377" ht="15.75" customHeight="1">
      <c r="B377" s="22"/>
      <c r="C377" s="65"/>
      <c r="D377" s="20"/>
    </row>
    <row r="378" ht="15.75" customHeight="1">
      <c r="B378" s="22"/>
      <c r="C378" s="65"/>
      <c r="D378" s="20"/>
    </row>
    <row r="379" ht="15.75" customHeight="1">
      <c r="B379" s="22"/>
      <c r="C379" s="65"/>
      <c r="D379" s="20"/>
    </row>
    <row r="380" ht="15.75" customHeight="1">
      <c r="B380" s="22"/>
      <c r="C380" s="65"/>
      <c r="D380" s="20"/>
    </row>
    <row r="381" ht="15.75" customHeight="1">
      <c r="B381" s="22"/>
      <c r="C381" s="65"/>
      <c r="D381" s="20"/>
    </row>
    <row r="382" ht="15.75" customHeight="1">
      <c r="B382" s="22"/>
      <c r="C382" s="65"/>
      <c r="D382" s="20"/>
    </row>
    <row r="383" ht="15.75" customHeight="1">
      <c r="B383" s="22"/>
      <c r="C383" s="65"/>
      <c r="D383" s="20"/>
    </row>
    <row r="384" ht="15.75" customHeight="1">
      <c r="B384" s="22"/>
      <c r="C384" s="65"/>
      <c r="D384" s="20"/>
    </row>
    <row r="385" ht="15.75" customHeight="1">
      <c r="B385" s="22"/>
      <c r="C385" s="65"/>
      <c r="D385" s="20"/>
    </row>
    <row r="386" ht="15.75" customHeight="1">
      <c r="B386" s="22"/>
      <c r="C386" s="65"/>
      <c r="D386" s="20"/>
    </row>
    <row r="387" ht="15.75" customHeight="1">
      <c r="B387" s="22"/>
      <c r="C387" s="65"/>
      <c r="D387" s="20"/>
    </row>
    <row r="388" ht="15.75" customHeight="1">
      <c r="B388" s="22"/>
      <c r="C388" s="65"/>
      <c r="D388" s="20"/>
    </row>
    <row r="389" ht="15.75" customHeight="1">
      <c r="B389" s="22"/>
      <c r="C389" s="65"/>
      <c r="D389" s="20"/>
    </row>
    <row r="390" ht="15.75" customHeight="1">
      <c r="B390" s="22"/>
      <c r="C390" s="65"/>
      <c r="D390" s="20"/>
    </row>
    <row r="391" ht="15.75" customHeight="1">
      <c r="B391" s="22"/>
      <c r="C391" s="65"/>
      <c r="D391" s="20"/>
    </row>
    <row r="392" ht="15.75" customHeight="1">
      <c r="B392" s="22"/>
      <c r="C392" s="65"/>
      <c r="D392" s="20"/>
    </row>
    <row r="393" ht="15.75" customHeight="1">
      <c r="B393" s="22"/>
      <c r="C393" s="65"/>
      <c r="D393" s="20"/>
    </row>
    <row r="394" ht="15.75" customHeight="1">
      <c r="B394" s="22"/>
      <c r="C394" s="65"/>
      <c r="D394" s="20"/>
    </row>
    <row r="395" ht="15.75" customHeight="1">
      <c r="B395" s="22"/>
      <c r="C395" s="65"/>
      <c r="D395" s="20"/>
    </row>
    <row r="396" ht="15.75" customHeight="1">
      <c r="B396" s="22"/>
      <c r="C396" s="65"/>
      <c r="D396" s="20"/>
    </row>
    <row r="397" ht="15.75" customHeight="1">
      <c r="B397" s="22"/>
      <c r="C397" s="65"/>
      <c r="D397" s="20"/>
    </row>
    <row r="398" ht="15.75" customHeight="1">
      <c r="B398" s="22"/>
      <c r="C398" s="65"/>
      <c r="D398" s="20"/>
    </row>
    <row r="399" ht="15.75" customHeight="1">
      <c r="B399" s="22"/>
      <c r="C399" s="65"/>
      <c r="D399" s="20"/>
    </row>
    <row r="400" ht="15.75" customHeight="1">
      <c r="B400" s="22"/>
      <c r="C400" s="65"/>
      <c r="D400" s="20"/>
    </row>
    <row r="401" ht="15.75" customHeight="1">
      <c r="B401" s="22"/>
      <c r="C401" s="65"/>
      <c r="D401" s="20"/>
    </row>
    <row r="402" ht="15.75" customHeight="1">
      <c r="B402" s="22"/>
      <c r="C402" s="65"/>
      <c r="D402" s="20"/>
    </row>
    <row r="403" ht="15.75" customHeight="1">
      <c r="B403" s="22"/>
      <c r="C403" s="65"/>
      <c r="D403" s="20"/>
    </row>
    <row r="404" ht="15.75" customHeight="1">
      <c r="B404" s="22"/>
      <c r="C404" s="65"/>
      <c r="D404" s="20"/>
    </row>
    <row r="405" ht="15.75" customHeight="1">
      <c r="B405" s="22"/>
      <c r="C405" s="65"/>
      <c r="D405" s="20"/>
    </row>
    <row r="406" ht="15.75" customHeight="1">
      <c r="B406" s="22"/>
      <c r="C406" s="65"/>
      <c r="D406" s="20"/>
    </row>
    <row r="407" ht="15.75" customHeight="1">
      <c r="B407" s="22"/>
      <c r="C407" s="65"/>
      <c r="D407" s="20"/>
    </row>
    <row r="408" ht="15.75" customHeight="1">
      <c r="B408" s="22"/>
      <c r="C408" s="65"/>
      <c r="D408" s="20"/>
    </row>
    <row r="409" ht="15.75" customHeight="1">
      <c r="B409" s="22"/>
      <c r="C409" s="65"/>
      <c r="D409" s="20"/>
    </row>
    <row r="410" ht="15.75" customHeight="1">
      <c r="B410" s="22"/>
      <c r="C410" s="65"/>
      <c r="D410" s="20"/>
    </row>
    <row r="411" ht="15.75" customHeight="1">
      <c r="B411" s="22"/>
      <c r="C411" s="65"/>
      <c r="D411" s="20"/>
    </row>
    <row r="412" ht="15.75" customHeight="1">
      <c r="B412" s="22"/>
      <c r="C412" s="65"/>
      <c r="D412" s="20"/>
    </row>
    <row r="413" ht="15.75" customHeight="1">
      <c r="B413" s="22"/>
      <c r="C413" s="65"/>
      <c r="D413" s="20"/>
    </row>
    <row r="414" ht="15.75" customHeight="1">
      <c r="B414" s="22"/>
      <c r="C414" s="65"/>
      <c r="D414" s="20"/>
    </row>
    <row r="415" ht="15.75" customHeight="1">
      <c r="B415" s="22"/>
      <c r="C415" s="65"/>
      <c r="D415" s="20"/>
    </row>
    <row r="416" ht="15.75" customHeight="1">
      <c r="B416" s="22"/>
      <c r="C416" s="65"/>
      <c r="D416" s="20"/>
    </row>
    <row r="417" ht="15.75" customHeight="1">
      <c r="B417" s="22"/>
      <c r="C417" s="65"/>
      <c r="D417" s="20"/>
    </row>
    <row r="418" ht="15.75" customHeight="1">
      <c r="B418" s="22"/>
      <c r="C418" s="65"/>
      <c r="D418" s="20"/>
    </row>
    <row r="419" ht="15.75" customHeight="1">
      <c r="B419" s="22"/>
      <c r="C419" s="65"/>
      <c r="D419" s="20"/>
    </row>
    <row r="420" ht="15.75" customHeight="1">
      <c r="B420" s="22"/>
      <c r="C420" s="65"/>
      <c r="D420" s="20"/>
    </row>
    <row r="421" ht="15.75" customHeight="1">
      <c r="B421" s="22"/>
      <c r="C421" s="65"/>
      <c r="D421" s="20"/>
    </row>
    <row r="422" ht="15.75" customHeight="1">
      <c r="B422" s="22"/>
      <c r="C422" s="65"/>
      <c r="D422" s="20"/>
    </row>
    <row r="423" ht="15.75" customHeight="1">
      <c r="B423" s="22"/>
      <c r="C423" s="65"/>
      <c r="D423" s="20"/>
    </row>
    <row r="424" ht="15.75" customHeight="1">
      <c r="B424" s="22"/>
      <c r="C424" s="65"/>
      <c r="D424" s="20"/>
    </row>
    <row r="425" ht="15.75" customHeight="1">
      <c r="B425" s="22"/>
      <c r="C425" s="65"/>
      <c r="D425" s="20"/>
    </row>
    <row r="426" ht="15.75" customHeight="1">
      <c r="B426" s="22"/>
      <c r="C426" s="65"/>
      <c r="D426" s="20"/>
    </row>
    <row r="427" ht="15.75" customHeight="1">
      <c r="B427" s="22"/>
      <c r="C427" s="65"/>
      <c r="D427" s="20"/>
    </row>
    <row r="428" ht="15.75" customHeight="1">
      <c r="B428" s="22"/>
      <c r="C428" s="65"/>
      <c r="D428" s="20"/>
    </row>
    <row r="429" ht="15.75" customHeight="1">
      <c r="B429" s="22"/>
      <c r="C429" s="65"/>
      <c r="D429" s="20"/>
    </row>
    <row r="430" ht="15.75" customHeight="1">
      <c r="B430" s="22"/>
      <c r="C430" s="65"/>
      <c r="D430" s="20"/>
    </row>
    <row r="431" ht="15.75" customHeight="1">
      <c r="B431" s="22"/>
      <c r="C431" s="65"/>
      <c r="D431" s="20"/>
    </row>
    <row r="432" ht="15.75" customHeight="1">
      <c r="B432" s="22"/>
      <c r="C432" s="65"/>
      <c r="D432" s="20"/>
    </row>
    <row r="433" ht="15.75" customHeight="1">
      <c r="B433" s="22"/>
      <c r="C433" s="65"/>
      <c r="D433" s="20"/>
    </row>
    <row r="434" ht="15.75" customHeight="1">
      <c r="B434" s="22"/>
      <c r="C434" s="65"/>
      <c r="D434" s="20"/>
    </row>
    <row r="435" ht="15.75" customHeight="1">
      <c r="B435" s="22"/>
      <c r="C435" s="65"/>
      <c r="D435" s="20"/>
    </row>
    <row r="436" ht="15.75" customHeight="1">
      <c r="B436" s="22"/>
      <c r="C436" s="65"/>
      <c r="D436" s="20"/>
    </row>
    <row r="437" ht="15.75" customHeight="1">
      <c r="B437" s="22"/>
      <c r="C437" s="65"/>
      <c r="D437" s="20"/>
    </row>
    <row r="438" ht="15.75" customHeight="1">
      <c r="B438" s="22"/>
      <c r="C438" s="65"/>
      <c r="D438" s="20"/>
    </row>
    <row r="439" ht="15.75" customHeight="1">
      <c r="B439" s="22"/>
      <c r="C439" s="65"/>
      <c r="D439" s="20"/>
    </row>
    <row r="440" ht="15.75" customHeight="1">
      <c r="B440" s="22"/>
      <c r="C440" s="65"/>
      <c r="D440" s="20"/>
    </row>
    <row r="441" ht="15.75" customHeight="1">
      <c r="B441" s="22"/>
      <c r="C441" s="65"/>
      <c r="D441" s="20"/>
    </row>
    <row r="442" ht="15.75" customHeight="1">
      <c r="B442" s="22"/>
      <c r="C442" s="65"/>
      <c r="D442" s="20"/>
    </row>
    <row r="443" ht="15.75" customHeight="1">
      <c r="B443" s="22"/>
      <c r="C443" s="65"/>
      <c r="D443" s="20"/>
    </row>
    <row r="444" ht="15.75" customHeight="1">
      <c r="B444" s="22"/>
      <c r="C444" s="65"/>
      <c r="D444" s="20"/>
    </row>
    <row r="445" ht="15.75" customHeight="1">
      <c r="B445" s="22"/>
      <c r="C445" s="65"/>
      <c r="D445" s="20"/>
    </row>
    <row r="446" ht="15.75" customHeight="1">
      <c r="B446" s="22"/>
      <c r="C446" s="65"/>
      <c r="D446" s="20"/>
    </row>
    <row r="447" ht="15.75" customHeight="1">
      <c r="B447" s="22"/>
      <c r="C447" s="65"/>
      <c r="D447" s="20"/>
    </row>
    <row r="448" ht="15.75" customHeight="1">
      <c r="B448" s="22"/>
      <c r="C448" s="65"/>
      <c r="D448" s="20"/>
    </row>
    <row r="449" ht="15.75" customHeight="1">
      <c r="B449" s="22"/>
      <c r="C449" s="65"/>
      <c r="D449" s="20"/>
    </row>
    <row r="450" ht="15.75" customHeight="1">
      <c r="B450" s="22"/>
      <c r="C450" s="65"/>
      <c r="D450" s="20"/>
    </row>
    <row r="451" ht="15.75" customHeight="1">
      <c r="B451" s="22"/>
      <c r="C451" s="65"/>
      <c r="D451" s="20"/>
    </row>
    <row r="452" ht="15.75" customHeight="1">
      <c r="B452" s="22"/>
      <c r="C452" s="65"/>
      <c r="D452" s="20"/>
    </row>
    <row r="453" ht="15.75" customHeight="1">
      <c r="B453" s="22"/>
      <c r="C453" s="65"/>
      <c r="D453" s="20"/>
    </row>
    <row r="454" ht="15.75" customHeight="1">
      <c r="B454" s="22"/>
      <c r="C454" s="65"/>
      <c r="D454" s="20"/>
    </row>
    <row r="455" ht="15.75" customHeight="1">
      <c r="B455" s="22"/>
      <c r="C455" s="65"/>
      <c r="D455" s="20"/>
    </row>
    <row r="456" ht="15.75" customHeight="1">
      <c r="B456" s="22"/>
      <c r="C456" s="65"/>
      <c r="D456" s="20"/>
    </row>
    <row r="457" ht="15.75" customHeight="1">
      <c r="B457" s="22"/>
      <c r="C457" s="65"/>
      <c r="D457" s="20"/>
    </row>
    <row r="458" ht="15.75" customHeight="1">
      <c r="B458" s="22"/>
      <c r="C458" s="65"/>
      <c r="D458" s="20"/>
    </row>
    <row r="459" ht="15.75" customHeight="1">
      <c r="B459" s="22"/>
      <c r="C459" s="65"/>
      <c r="D459" s="20"/>
    </row>
    <row r="460" ht="15.75" customHeight="1">
      <c r="B460" s="22"/>
      <c r="C460" s="65"/>
      <c r="D460" s="20"/>
    </row>
    <row r="461" ht="15.75" customHeight="1">
      <c r="B461" s="22"/>
      <c r="C461" s="65"/>
      <c r="D461" s="20"/>
    </row>
    <row r="462" ht="15.75" customHeight="1">
      <c r="B462" s="22"/>
      <c r="C462" s="65"/>
      <c r="D462" s="20"/>
    </row>
    <row r="463" ht="15.75" customHeight="1">
      <c r="B463" s="22"/>
      <c r="C463" s="65"/>
      <c r="D463" s="20"/>
    </row>
    <row r="464" ht="15.75" customHeight="1">
      <c r="B464" s="22"/>
      <c r="C464" s="65"/>
      <c r="D464" s="20"/>
    </row>
    <row r="465" ht="15.75" customHeight="1">
      <c r="B465" s="22"/>
      <c r="C465" s="65"/>
      <c r="D465" s="20"/>
    </row>
    <row r="466" ht="15.75" customHeight="1">
      <c r="B466" s="22"/>
      <c r="C466" s="65"/>
      <c r="D466" s="20"/>
    </row>
    <row r="467" ht="15.75" customHeight="1">
      <c r="B467" s="22"/>
      <c r="C467" s="65"/>
      <c r="D467" s="20"/>
    </row>
    <row r="468" ht="15.75" customHeight="1">
      <c r="B468" s="22"/>
      <c r="C468" s="65"/>
      <c r="D468" s="20"/>
    </row>
    <row r="469" ht="15.75" customHeight="1">
      <c r="B469" s="22"/>
      <c r="C469" s="65"/>
      <c r="D469" s="20"/>
    </row>
    <row r="470" ht="15.75" customHeight="1">
      <c r="B470" s="22"/>
      <c r="C470" s="65"/>
      <c r="D470" s="20"/>
    </row>
    <row r="471" ht="15.75" customHeight="1">
      <c r="B471" s="22"/>
      <c r="C471" s="65"/>
      <c r="D471" s="20"/>
    </row>
    <row r="472" ht="15.75" customHeight="1">
      <c r="B472" s="22"/>
      <c r="C472" s="65"/>
      <c r="D472" s="20"/>
    </row>
    <row r="473" ht="15.75" customHeight="1">
      <c r="B473" s="22"/>
      <c r="C473" s="65"/>
      <c r="D473" s="20"/>
    </row>
    <row r="474" ht="15.75" customHeight="1">
      <c r="B474" s="22"/>
      <c r="C474" s="65"/>
      <c r="D474" s="20"/>
    </row>
    <row r="475" ht="15.75" customHeight="1">
      <c r="B475" s="22"/>
      <c r="C475" s="65"/>
      <c r="D475" s="20"/>
    </row>
    <row r="476" ht="15.75" customHeight="1">
      <c r="B476" s="22"/>
      <c r="C476" s="65"/>
      <c r="D476" s="20"/>
    </row>
    <row r="477" ht="15.75" customHeight="1">
      <c r="B477" s="22"/>
      <c r="C477" s="65"/>
      <c r="D477" s="20"/>
    </row>
    <row r="478" ht="15.75" customHeight="1">
      <c r="B478" s="22"/>
      <c r="C478" s="65"/>
      <c r="D478" s="20"/>
    </row>
    <row r="479" ht="15.75" customHeight="1">
      <c r="B479" s="22"/>
      <c r="C479" s="65"/>
      <c r="D479" s="20"/>
    </row>
    <row r="480" ht="15.75" customHeight="1">
      <c r="B480" s="22"/>
      <c r="C480" s="65"/>
      <c r="D480" s="20"/>
    </row>
    <row r="481" ht="15.75" customHeight="1">
      <c r="B481" s="22"/>
      <c r="C481" s="65"/>
      <c r="D481" s="20"/>
    </row>
    <row r="482" ht="15.75" customHeight="1">
      <c r="B482" s="22"/>
      <c r="C482" s="65"/>
      <c r="D482" s="20"/>
    </row>
    <row r="483" ht="15.75" customHeight="1">
      <c r="B483" s="22"/>
      <c r="C483" s="65"/>
      <c r="D483" s="20"/>
    </row>
    <row r="484" ht="15.75" customHeight="1">
      <c r="B484" s="22"/>
      <c r="C484" s="65"/>
      <c r="D484" s="20"/>
    </row>
    <row r="485" ht="15.75" customHeight="1">
      <c r="B485" s="22"/>
      <c r="C485" s="65"/>
      <c r="D485" s="20"/>
    </row>
    <row r="486" ht="15.75" customHeight="1">
      <c r="B486" s="22"/>
      <c r="C486" s="65"/>
      <c r="D486" s="20"/>
    </row>
    <row r="487" ht="15.75" customHeight="1">
      <c r="B487" s="22"/>
      <c r="C487" s="65"/>
      <c r="D487" s="20"/>
    </row>
    <row r="488" ht="15.75" customHeight="1">
      <c r="B488" s="22"/>
      <c r="C488" s="65"/>
      <c r="D488" s="20"/>
    </row>
    <row r="489" ht="15.75" customHeight="1">
      <c r="B489" s="22"/>
      <c r="C489" s="65"/>
      <c r="D489" s="20"/>
    </row>
    <row r="490" ht="15.75" customHeight="1">
      <c r="B490" s="22"/>
      <c r="C490" s="65"/>
      <c r="D490" s="20"/>
    </row>
    <row r="491" ht="15.75" customHeight="1">
      <c r="B491" s="22"/>
      <c r="C491" s="65"/>
      <c r="D491" s="20"/>
    </row>
    <row r="492" ht="15.75" customHeight="1">
      <c r="B492" s="22"/>
      <c r="C492" s="65"/>
      <c r="D492" s="20"/>
    </row>
    <row r="493" ht="15.75" customHeight="1">
      <c r="B493" s="22"/>
      <c r="C493" s="65"/>
      <c r="D493" s="20"/>
    </row>
    <row r="494" ht="15.75" customHeight="1">
      <c r="B494" s="22"/>
      <c r="C494" s="65"/>
      <c r="D494" s="20"/>
    </row>
    <row r="495" ht="15.75" customHeight="1">
      <c r="B495" s="22"/>
      <c r="C495" s="65"/>
      <c r="D495" s="20"/>
    </row>
    <row r="496" ht="15.75" customHeight="1">
      <c r="B496" s="22"/>
      <c r="C496" s="65"/>
      <c r="D496" s="20"/>
    </row>
    <row r="497" ht="15.75" customHeight="1">
      <c r="B497" s="22"/>
      <c r="C497" s="65"/>
      <c r="D497" s="20"/>
    </row>
    <row r="498" ht="15.75" customHeight="1">
      <c r="B498" s="22"/>
      <c r="C498" s="65"/>
      <c r="D498" s="20"/>
    </row>
    <row r="499" ht="15.75" customHeight="1">
      <c r="B499" s="22"/>
      <c r="C499" s="65"/>
      <c r="D499" s="20"/>
    </row>
    <row r="500" ht="15.75" customHeight="1">
      <c r="B500" s="22"/>
      <c r="C500" s="65"/>
      <c r="D500" s="20"/>
    </row>
    <row r="501" ht="15.75" customHeight="1">
      <c r="B501" s="22"/>
      <c r="C501" s="65"/>
      <c r="D501" s="20"/>
    </row>
    <row r="502" ht="15.75" customHeight="1">
      <c r="B502" s="22"/>
      <c r="C502" s="65"/>
      <c r="D502" s="20"/>
    </row>
    <row r="503" ht="15.75" customHeight="1">
      <c r="B503" s="22"/>
      <c r="C503" s="65"/>
      <c r="D503" s="20"/>
    </row>
    <row r="504" ht="15.75" customHeight="1">
      <c r="B504" s="22"/>
      <c r="C504" s="65"/>
      <c r="D504" s="20"/>
    </row>
    <row r="505" ht="15.75" customHeight="1">
      <c r="B505" s="22"/>
      <c r="C505" s="65"/>
      <c r="D505" s="20"/>
    </row>
    <row r="506" ht="15.75" customHeight="1">
      <c r="B506" s="22"/>
      <c r="C506" s="65"/>
      <c r="D506" s="20"/>
    </row>
    <row r="507" ht="15.75" customHeight="1">
      <c r="B507" s="22"/>
      <c r="C507" s="65"/>
      <c r="D507" s="20"/>
    </row>
    <row r="508" ht="15.75" customHeight="1">
      <c r="B508" s="22"/>
      <c r="C508" s="65"/>
      <c r="D508" s="20"/>
    </row>
    <row r="509" ht="15.75" customHeight="1">
      <c r="B509" s="22"/>
      <c r="C509" s="65"/>
      <c r="D509" s="20"/>
    </row>
    <row r="510" ht="15.75" customHeight="1">
      <c r="B510" s="22"/>
      <c r="C510" s="65"/>
      <c r="D510" s="20"/>
    </row>
    <row r="511" ht="15.75" customHeight="1">
      <c r="B511" s="22"/>
      <c r="C511" s="65"/>
      <c r="D511" s="20"/>
    </row>
    <row r="512" ht="15.75" customHeight="1">
      <c r="B512" s="22"/>
      <c r="C512" s="65"/>
      <c r="D512" s="20"/>
    </row>
    <row r="513" ht="15.75" customHeight="1">
      <c r="B513" s="22"/>
      <c r="C513" s="65"/>
      <c r="D513" s="20"/>
    </row>
    <row r="514" ht="15.75" customHeight="1">
      <c r="B514" s="22"/>
      <c r="C514" s="65"/>
      <c r="D514" s="20"/>
    </row>
    <row r="515" ht="15.75" customHeight="1">
      <c r="B515" s="22"/>
      <c r="C515" s="65"/>
      <c r="D515" s="20"/>
    </row>
    <row r="516" ht="15.75" customHeight="1">
      <c r="B516" s="22"/>
      <c r="C516" s="65"/>
      <c r="D516" s="20"/>
    </row>
    <row r="517" ht="15.75" customHeight="1">
      <c r="B517" s="22"/>
      <c r="C517" s="65"/>
      <c r="D517" s="20"/>
    </row>
    <row r="518" ht="15.75" customHeight="1">
      <c r="B518" s="22"/>
      <c r="C518" s="65"/>
      <c r="D518" s="20"/>
    </row>
    <row r="519" ht="15.75" customHeight="1">
      <c r="B519" s="22"/>
      <c r="C519" s="65"/>
      <c r="D519" s="20"/>
    </row>
    <row r="520" ht="15.75" customHeight="1">
      <c r="B520" s="22"/>
      <c r="C520" s="65"/>
      <c r="D520" s="20"/>
    </row>
    <row r="521" ht="15.75" customHeight="1">
      <c r="B521" s="22"/>
      <c r="C521" s="65"/>
      <c r="D521" s="20"/>
    </row>
    <row r="522" ht="15.75" customHeight="1">
      <c r="B522" s="22"/>
      <c r="C522" s="65"/>
      <c r="D522" s="20"/>
    </row>
    <row r="523" ht="15.75" customHeight="1">
      <c r="B523" s="22"/>
      <c r="C523" s="65"/>
      <c r="D523" s="20"/>
    </row>
    <row r="524" ht="15.75" customHeight="1">
      <c r="B524" s="22"/>
      <c r="C524" s="65"/>
      <c r="D524" s="20"/>
    </row>
    <row r="525" ht="15.75" customHeight="1">
      <c r="B525" s="22"/>
      <c r="C525" s="65"/>
      <c r="D525" s="20"/>
    </row>
    <row r="526" ht="15.75" customHeight="1">
      <c r="B526" s="22"/>
      <c r="C526" s="65"/>
      <c r="D526" s="20"/>
    </row>
    <row r="527" ht="15.75" customHeight="1">
      <c r="B527" s="22"/>
      <c r="C527" s="65"/>
      <c r="D527" s="20"/>
    </row>
    <row r="528" ht="15.75" customHeight="1">
      <c r="B528" s="22"/>
      <c r="C528" s="65"/>
      <c r="D528" s="20"/>
    </row>
    <row r="529" ht="15.75" customHeight="1">
      <c r="B529" s="22"/>
      <c r="C529" s="65"/>
      <c r="D529" s="20"/>
    </row>
    <row r="530" ht="15.75" customHeight="1">
      <c r="B530" s="22"/>
      <c r="C530" s="65"/>
      <c r="D530" s="20"/>
    </row>
    <row r="531" ht="15.75" customHeight="1">
      <c r="B531" s="22"/>
      <c r="C531" s="65"/>
      <c r="D531" s="20"/>
    </row>
    <row r="532" ht="15.75" customHeight="1">
      <c r="B532" s="22"/>
      <c r="C532" s="65"/>
      <c r="D532" s="20"/>
    </row>
    <row r="533" ht="15.75" customHeight="1">
      <c r="B533" s="22"/>
      <c r="C533" s="65"/>
      <c r="D533" s="20"/>
    </row>
    <row r="534" ht="15.75" customHeight="1">
      <c r="B534" s="22"/>
      <c r="C534" s="65"/>
      <c r="D534" s="20"/>
    </row>
    <row r="535" ht="15.75" customHeight="1">
      <c r="B535" s="22"/>
      <c r="C535" s="65"/>
      <c r="D535" s="20"/>
    </row>
    <row r="536" ht="15.75" customHeight="1">
      <c r="B536" s="22"/>
      <c r="C536" s="65"/>
      <c r="D536" s="20"/>
    </row>
    <row r="537" ht="15.75" customHeight="1">
      <c r="B537" s="22"/>
      <c r="C537" s="65"/>
      <c r="D537" s="20"/>
    </row>
    <row r="538" ht="15.75" customHeight="1">
      <c r="B538" s="22"/>
      <c r="C538" s="65"/>
      <c r="D538" s="20"/>
    </row>
    <row r="539" ht="15.75" customHeight="1">
      <c r="B539" s="22"/>
      <c r="C539" s="65"/>
      <c r="D539" s="20"/>
    </row>
    <row r="540" ht="15.75" customHeight="1">
      <c r="B540" s="22"/>
      <c r="C540" s="65"/>
      <c r="D540" s="20"/>
    </row>
    <row r="541" ht="15.75" customHeight="1">
      <c r="B541" s="22"/>
      <c r="C541" s="65"/>
      <c r="D541" s="20"/>
    </row>
    <row r="542" ht="15.75" customHeight="1">
      <c r="B542" s="22"/>
      <c r="C542" s="65"/>
      <c r="D542" s="20"/>
    </row>
    <row r="543" ht="15.75" customHeight="1">
      <c r="B543" s="22"/>
      <c r="C543" s="65"/>
      <c r="D543" s="20"/>
    </row>
    <row r="544" ht="15.75" customHeight="1">
      <c r="B544" s="22"/>
      <c r="C544" s="65"/>
      <c r="D544" s="20"/>
    </row>
    <row r="545" ht="15.75" customHeight="1">
      <c r="B545" s="22"/>
      <c r="C545" s="65"/>
      <c r="D545" s="20"/>
    </row>
    <row r="546" ht="15.75" customHeight="1">
      <c r="B546" s="22"/>
      <c r="C546" s="65"/>
      <c r="D546" s="20"/>
    </row>
    <row r="547" ht="15.75" customHeight="1">
      <c r="B547" s="22"/>
      <c r="C547" s="65"/>
      <c r="D547" s="20"/>
    </row>
    <row r="548" ht="15.75" customHeight="1">
      <c r="B548" s="22"/>
      <c r="C548" s="65"/>
      <c r="D548" s="20"/>
    </row>
    <row r="549" ht="15.75" customHeight="1">
      <c r="B549" s="22"/>
      <c r="C549" s="65"/>
      <c r="D549" s="20"/>
    </row>
    <row r="550" ht="15.75" customHeight="1">
      <c r="B550" s="22"/>
      <c r="C550" s="65"/>
      <c r="D550" s="20"/>
    </row>
    <row r="551" ht="15.75" customHeight="1">
      <c r="B551" s="22"/>
      <c r="C551" s="65"/>
      <c r="D551" s="20"/>
    </row>
    <row r="552" ht="15.75" customHeight="1">
      <c r="B552" s="22"/>
      <c r="C552" s="65"/>
      <c r="D552" s="20"/>
    </row>
    <row r="553" ht="15.75" customHeight="1">
      <c r="B553" s="22"/>
      <c r="C553" s="65"/>
      <c r="D553" s="20"/>
    </row>
    <row r="554" ht="15.75" customHeight="1">
      <c r="B554" s="22"/>
      <c r="C554" s="65"/>
      <c r="D554" s="20"/>
    </row>
    <row r="555" ht="15.75" customHeight="1">
      <c r="B555" s="22"/>
      <c r="C555" s="65"/>
      <c r="D555" s="20"/>
    </row>
    <row r="556" ht="15.75" customHeight="1">
      <c r="B556" s="22"/>
      <c r="C556" s="65"/>
      <c r="D556" s="20"/>
    </row>
    <row r="557" ht="15.75" customHeight="1">
      <c r="B557" s="22"/>
      <c r="C557" s="65"/>
      <c r="D557" s="20"/>
    </row>
    <row r="558" ht="15.75" customHeight="1">
      <c r="B558" s="22"/>
      <c r="C558" s="65"/>
      <c r="D558" s="20"/>
    </row>
    <row r="559" ht="15.75" customHeight="1">
      <c r="B559" s="22"/>
      <c r="C559" s="65"/>
      <c r="D559" s="20"/>
    </row>
    <row r="560" ht="15.75" customHeight="1">
      <c r="B560" s="22"/>
      <c r="C560" s="65"/>
      <c r="D560" s="20"/>
    </row>
    <row r="561" ht="15.75" customHeight="1">
      <c r="B561" s="22"/>
      <c r="C561" s="65"/>
      <c r="D561" s="20"/>
    </row>
    <row r="562" ht="15.75" customHeight="1">
      <c r="B562" s="22"/>
      <c r="C562" s="65"/>
      <c r="D562" s="20"/>
    </row>
    <row r="563" ht="15.75" customHeight="1">
      <c r="B563" s="22"/>
      <c r="C563" s="65"/>
      <c r="D563" s="20"/>
    </row>
    <row r="564" ht="15.75" customHeight="1">
      <c r="B564" s="22"/>
      <c r="C564" s="65"/>
      <c r="D564" s="20"/>
    </row>
    <row r="565" ht="15.75" customHeight="1">
      <c r="B565" s="22"/>
      <c r="C565" s="65"/>
      <c r="D565" s="20"/>
    </row>
    <row r="566" ht="15.75" customHeight="1">
      <c r="B566" s="22"/>
      <c r="C566" s="65"/>
      <c r="D566" s="20"/>
    </row>
    <row r="567" ht="15.75" customHeight="1">
      <c r="B567" s="22"/>
      <c r="C567" s="65"/>
      <c r="D567" s="20"/>
    </row>
    <row r="568" ht="15.75" customHeight="1">
      <c r="B568" s="22"/>
      <c r="C568" s="65"/>
      <c r="D568" s="20"/>
    </row>
    <row r="569" ht="15.75" customHeight="1">
      <c r="B569" s="22"/>
      <c r="C569" s="65"/>
      <c r="D569" s="20"/>
    </row>
    <row r="570" ht="15.75" customHeight="1">
      <c r="B570" s="22"/>
      <c r="C570" s="65"/>
      <c r="D570" s="20"/>
    </row>
    <row r="571" ht="15.75" customHeight="1">
      <c r="B571" s="22"/>
      <c r="C571" s="65"/>
      <c r="D571" s="20"/>
    </row>
    <row r="572" ht="15.75" customHeight="1">
      <c r="B572" s="22"/>
      <c r="C572" s="65"/>
      <c r="D572" s="20"/>
    </row>
    <row r="573" ht="15.75" customHeight="1">
      <c r="B573" s="22"/>
      <c r="C573" s="65"/>
      <c r="D573" s="20"/>
    </row>
    <row r="574" ht="15.75" customHeight="1">
      <c r="B574" s="22"/>
      <c r="C574" s="65"/>
      <c r="D574" s="20"/>
    </row>
    <row r="575" ht="15.75" customHeight="1">
      <c r="B575" s="22"/>
      <c r="C575" s="65"/>
      <c r="D575" s="20"/>
    </row>
    <row r="576" ht="15.75" customHeight="1">
      <c r="B576" s="22"/>
      <c r="C576" s="65"/>
      <c r="D576" s="20"/>
    </row>
    <row r="577" ht="15.75" customHeight="1">
      <c r="B577" s="22"/>
      <c r="C577" s="65"/>
      <c r="D577" s="20"/>
    </row>
    <row r="578" ht="15.75" customHeight="1">
      <c r="B578" s="22"/>
      <c r="C578" s="65"/>
      <c r="D578" s="20"/>
    </row>
    <row r="579" ht="15.75" customHeight="1">
      <c r="B579" s="22"/>
      <c r="C579" s="65"/>
      <c r="D579" s="20"/>
    </row>
    <row r="580" ht="15.75" customHeight="1">
      <c r="B580" s="22"/>
      <c r="C580" s="65"/>
      <c r="D580" s="20"/>
    </row>
    <row r="581" ht="15.75" customHeight="1">
      <c r="B581" s="22"/>
      <c r="C581" s="65"/>
      <c r="D581" s="20"/>
    </row>
    <row r="582" ht="15.75" customHeight="1">
      <c r="B582" s="22"/>
      <c r="C582" s="65"/>
      <c r="D582" s="20"/>
    </row>
    <row r="583" ht="15.75" customHeight="1">
      <c r="B583" s="22"/>
      <c r="C583" s="65"/>
      <c r="D583" s="20"/>
    </row>
    <row r="584" ht="15.75" customHeight="1">
      <c r="B584" s="22"/>
      <c r="C584" s="65"/>
      <c r="D584" s="20"/>
    </row>
    <row r="585" ht="15.75" customHeight="1">
      <c r="B585" s="22"/>
      <c r="C585" s="65"/>
      <c r="D585" s="20"/>
    </row>
    <row r="586" ht="15.75" customHeight="1">
      <c r="B586" s="22"/>
      <c r="C586" s="65"/>
      <c r="D586" s="20"/>
    </row>
    <row r="587" ht="15.75" customHeight="1">
      <c r="B587" s="22"/>
      <c r="C587" s="65"/>
      <c r="D587" s="20"/>
    </row>
    <row r="588" ht="15.75" customHeight="1">
      <c r="B588" s="22"/>
      <c r="C588" s="65"/>
      <c r="D588" s="20"/>
    </row>
    <row r="589" ht="15.75" customHeight="1">
      <c r="B589" s="22"/>
      <c r="C589" s="65"/>
      <c r="D589" s="20"/>
    </row>
    <row r="590" ht="15.75" customHeight="1">
      <c r="B590" s="22"/>
      <c r="C590" s="65"/>
      <c r="D590" s="20"/>
    </row>
    <row r="591" ht="15.75" customHeight="1">
      <c r="B591" s="22"/>
      <c r="C591" s="65"/>
      <c r="D591" s="20"/>
    </row>
    <row r="592" ht="15.75" customHeight="1">
      <c r="B592" s="22"/>
      <c r="C592" s="65"/>
      <c r="D592" s="20"/>
    </row>
    <row r="593" ht="15.75" customHeight="1">
      <c r="B593" s="22"/>
      <c r="C593" s="65"/>
      <c r="D593" s="20"/>
    </row>
    <row r="594" ht="15.75" customHeight="1">
      <c r="B594" s="22"/>
      <c r="C594" s="65"/>
      <c r="D594" s="20"/>
    </row>
    <row r="595" ht="15.75" customHeight="1">
      <c r="B595" s="22"/>
      <c r="C595" s="65"/>
      <c r="D595" s="20"/>
    </row>
    <row r="596" ht="15.75" customHeight="1">
      <c r="B596" s="22"/>
      <c r="C596" s="65"/>
      <c r="D596" s="20"/>
    </row>
    <row r="597" ht="15.75" customHeight="1">
      <c r="B597" s="22"/>
      <c r="C597" s="65"/>
      <c r="D597" s="20"/>
    </row>
    <row r="598" ht="15.75" customHeight="1">
      <c r="B598" s="22"/>
      <c r="C598" s="65"/>
      <c r="D598" s="20"/>
    </row>
    <row r="599" ht="15.75" customHeight="1">
      <c r="B599" s="22"/>
      <c r="C599" s="65"/>
      <c r="D599" s="20"/>
    </row>
    <row r="600" ht="15.75" customHeight="1">
      <c r="B600" s="22"/>
      <c r="C600" s="65"/>
      <c r="D600" s="20"/>
    </row>
    <row r="601" ht="15.75" customHeight="1">
      <c r="B601" s="22"/>
      <c r="C601" s="65"/>
      <c r="D601" s="20"/>
    </row>
    <row r="602" ht="15.75" customHeight="1">
      <c r="B602" s="22"/>
      <c r="C602" s="65"/>
      <c r="D602" s="20"/>
    </row>
    <row r="603" ht="15.75" customHeight="1">
      <c r="B603" s="22"/>
      <c r="C603" s="65"/>
      <c r="D603" s="20"/>
    </row>
    <row r="604" ht="15.75" customHeight="1">
      <c r="B604" s="22"/>
      <c r="C604" s="65"/>
      <c r="D604" s="20"/>
    </row>
    <row r="605" ht="15.75" customHeight="1">
      <c r="B605" s="22"/>
      <c r="C605" s="65"/>
      <c r="D605" s="20"/>
    </row>
    <row r="606" ht="15.75" customHeight="1">
      <c r="B606" s="22"/>
      <c r="C606" s="65"/>
      <c r="D606" s="20"/>
    </row>
    <row r="607" ht="15.75" customHeight="1">
      <c r="B607" s="22"/>
      <c r="C607" s="65"/>
      <c r="D607" s="20"/>
    </row>
    <row r="608" ht="15.75" customHeight="1">
      <c r="B608" s="22"/>
      <c r="C608" s="65"/>
      <c r="D608" s="20"/>
    </row>
    <row r="609" ht="15.75" customHeight="1">
      <c r="B609" s="22"/>
      <c r="C609" s="65"/>
      <c r="D609" s="20"/>
    </row>
    <row r="610" ht="15.75" customHeight="1">
      <c r="B610" s="22"/>
      <c r="C610" s="65"/>
      <c r="D610" s="20"/>
    </row>
    <row r="611" ht="15.75" customHeight="1">
      <c r="B611" s="22"/>
      <c r="C611" s="65"/>
      <c r="D611" s="20"/>
    </row>
    <row r="612" ht="15.75" customHeight="1">
      <c r="B612" s="22"/>
      <c r="C612" s="65"/>
      <c r="D612" s="20"/>
    </row>
    <row r="613" ht="15.75" customHeight="1">
      <c r="B613" s="22"/>
      <c r="C613" s="65"/>
      <c r="D613" s="20"/>
    </row>
    <row r="614" ht="15.75" customHeight="1">
      <c r="B614" s="22"/>
      <c r="C614" s="65"/>
      <c r="D614" s="20"/>
    </row>
    <row r="615" ht="15.75" customHeight="1">
      <c r="B615" s="22"/>
      <c r="C615" s="65"/>
      <c r="D615" s="20"/>
    </row>
    <row r="616" ht="15.75" customHeight="1">
      <c r="B616" s="22"/>
      <c r="C616" s="65"/>
      <c r="D616" s="20"/>
    </row>
    <row r="617" ht="15.75" customHeight="1">
      <c r="B617" s="22"/>
      <c r="C617" s="65"/>
      <c r="D617" s="20"/>
    </row>
    <row r="618" ht="15.75" customHeight="1">
      <c r="B618" s="22"/>
      <c r="C618" s="65"/>
      <c r="D618" s="20"/>
    </row>
    <row r="619" ht="15.75" customHeight="1">
      <c r="B619" s="22"/>
      <c r="C619" s="65"/>
      <c r="D619" s="20"/>
    </row>
    <row r="620" ht="15.75" customHeight="1">
      <c r="B620" s="22"/>
      <c r="C620" s="65"/>
      <c r="D620" s="20"/>
    </row>
    <row r="621" ht="15.75" customHeight="1">
      <c r="B621" s="22"/>
      <c r="C621" s="65"/>
      <c r="D621" s="20"/>
    </row>
    <row r="622" ht="15.75" customHeight="1">
      <c r="B622" s="22"/>
      <c r="C622" s="65"/>
      <c r="D622" s="20"/>
    </row>
    <row r="623" ht="15.75" customHeight="1">
      <c r="B623" s="22"/>
      <c r="C623" s="65"/>
      <c r="D623" s="20"/>
    </row>
    <row r="624" ht="15.75" customHeight="1">
      <c r="B624" s="22"/>
      <c r="C624" s="65"/>
      <c r="D624" s="20"/>
    </row>
    <row r="625" ht="15.75" customHeight="1">
      <c r="B625" s="22"/>
      <c r="C625" s="65"/>
      <c r="D625" s="20"/>
    </row>
    <row r="626" ht="15.75" customHeight="1">
      <c r="B626" s="22"/>
      <c r="C626" s="65"/>
      <c r="D626" s="20"/>
    </row>
    <row r="627" ht="15.75" customHeight="1">
      <c r="B627" s="22"/>
      <c r="C627" s="65"/>
      <c r="D627" s="20"/>
    </row>
    <row r="628" ht="15.75" customHeight="1">
      <c r="B628" s="22"/>
      <c r="C628" s="65"/>
      <c r="D628" s="20"/>
    </row>
    <row r="629" ht="15.75" customHeight="1">
      <c r="B629" s="22"/>
      <c r="C629" s="65"/>
      <c r="D629" s="20"/>
    </row>
    <row r="630" ht="15.75" customHeight="1">
      <c r="B630" s="22"/>
      <c r="C630" s="65"/>
      <c r="D630" s="20"/>
    </row>
    <row r="631" ht="15.75" customHeight="1">
      <c r="B631" s="22"/>
      <c r="C631" s="65"/>
      <c r="D631" s="20"/>
    </row>
    <row r="632" ht="15.75" customHeight="1">
      <c r="B632" s="22"/>
      <c r="C632" s="65"/>
      <c r="D632" s="20"/>
    </row>
    <row r="633" ht="15.75" customHeight="1">
      <c r="B633" s="22"/>
      <c r="C633" s="65"/>
      <c r="D633" s="20"/>
    </row>
    <row r="634" ht="15.75" customHeight="1">
      <c r="B634" s="22"/>
      <c r="C634" s="65"/>
      <c r="D634" s="20"/>
    </row>
    <row r="635" ht="15.75" customHeight="1">
      <c r="B635" s="22"/>
      <c r="C635" s="65"/>
      <c r="D635" s="20"/>
    </row>
    <row r="636" ht="15.75" customHeight="1">
      <c r="B636" s="22"/>
      <c r="C636" s="65"/>
      <c r="D636" s="20"/>
    </row>
    <row r="637" ht="15.75" customHeight="1">
      <c r="B637" s="22"/>
      <c r="C637" s="65"/>
      <c r="D637" s="20"/>
    </row>
    <row r="638" ht="15.75" customHeight="1">
      <c r="B638" s="22"/>
      <c r="C638" s="65"/>
      <c r="D638" s="20"/>
    </row>
    <row r="639" ht="15.75" customHeight="1">
      <c r="B639" s="22"/>
      <c r="C639" s="65"/>
      <c r="D639" s="20"/>
    </row>
    <row r="640" ht="15.75" customHeight="1">
      <c r="B640" s="22"/>
      <c r="C640" s="65"/>
      <c r="D640" s="20"/>
    </row>
    <row r="641" ht="15.75" customHeight="1">
      <c r="B641" s="22"/>
      <c r="C641" s="65"/>
      <c r="D641" s="20"/>
    </row>
    <row r="642" ht="15.75" customHeight="1">
      <c r="B642" s="22"/>
      <c r="C642" s="65"/>
      <c r="D642" s="20"/>
    </row>
    <row r="643" ht="15.75" customHeight="1">
      <c r="B643" s="22"/>
      <c r="C643" s="65"/>
      <c r="D643" s="20"/>
    </row>
    <row r="644" ht="15.75" customHeight="1">
      <c r="B644" s="22"/>
      <c r="C644" s="65"/>
      <c r="D644" s="20"/>
    </row>
    <row r="645" ht="15.75" customHeight="1">
      <c r="B645" s="22"/>
      <c r="C645" s="65"/>
      <c r="D645" s="20"/>
    </row>
    <row r="646" ht="15.75" customHeight="1">
      <c r="B646" s="22"/>
      <c r="C646" s="65"/>
      <c r="D646" s="20"/>
    </row>
    <row r="647" ht="15.75" customHeight="1">
      <c r="B647" s="22"/>
      <c r="C647" s="65"/>
      <c r="D647" s="20"/>
    </row>
    <row r="648" ht="15.75" customHeight="1">
      <c r="B648" s="22"/>
      <c r="C648" s="65"/>
      <c r="D648" s="20"/>
    </row>
    <row r="649" ht="15.75" customHeight="1">
      <c r="B649" s="22"/>
      <c r="C649" s="65"/>
      <c r="D649" s="20"/>
    </row>
    <row r="650" ht="15.75" customHeight="1">
      <c r="B650" s="22"/>
      <c r="C650" s="65"/>
      <c r="D650" s="20"/>
    </row>
    <row r="651" ht="15.75" customHeight="1">
      <c r="B651" s="22"/>
      <c r="C651" s="65"/>
      <c r="D651" s="20"/>
    </row>
    <row r="652" ht="15.75" customHeight="1">
      <c r="B652" s="22"/>
      <c r="C652" s="65"/>
      <c r="D652" s="20"/>
    </row>
    <row r="653" ht="15.75" customHeight="1">
      <c r="B653" s="22"/>
      <c r="C653" s="65"/>
      <c r="D653" s="20"/>
    </row>
    <row r="654" ht="15.75" customHeight="1">
      <c r="B654" s="22"/>
      <c r="C654" s="65"/>
      <c r="D654" s="20"/>
    </row>
    <row r="655" ht="15.75" customHeight="1">
      <c r="B655" s="22"/>
      <c r="C655" s="65"/>
      <c r="D655" s="20"/>
    </row>
    <row r="656" ht="15.75" customHeight="1">
      <c r="B656" s="22"/>
      <c r="C656" s="65"/>
      <c r="D656" s="20"/>
    </row>
    <row r="657" ht="15.75" customHeight="1">
      <c r="B657" s="22"/>
      <c r="C657" s="65"/>
      <c r="D657" s="20"/>
    </row>
    <row r="658" ht="15.75" customHeight="1">
      <c r="B658" s="22"/>
      <c r="C658" s="65"/>
      <c r="D658" s="20"/>
    </row>
    <row r="659" ht="15.75" customHeight="1">
      <c r="B659" s="22"/>
      <c r="C659" s="65"/>
      <c r="D659" s="20"/>
    </row>
    <row r="660" ht="15.75" customHeight="1">
      <c r="B660" s="22"/>
      <c r="C660" s="65"/>
      <c r="D660" s="20"/>
    </row>
    <row r="661" ht="15.75" customHeight="1">
      <c r="B661" s="22"/>
      <c r="C661" s="65"/>
      <c r="D661" s="20"/>
    </row>
    <row r="662" ht="15.75" customHeight="1">
      <c r="B662" s="22"/>
      <c r="C662" s="65"/>
      <c r="D662" s="20"/>
    </row>
    <row r="663" ht="15.75" customHeight="1">
      <c r="B663" s="22"/>
      <c r="C663" s="65"/>
      <c r="D663" s="20"/>
    </row>
    <row r="664" ht="15.75" customHeight="1">
      <c r="B664" s="22"/>
      <c r="C664" s="65"/>
      <c r="D664" s="20"/>
    </row>
    <row r="665" ht="15.75" customHeight="1">
      <c r="B665" s="22"/>
      <c r="C665" s="65"/>
      <c r="D665" s="20"/>
    </row>
    <row r="666" ht="15.75" customHeight="1">
      <c r="B666" s="22"/>
      <c r="C666" s="65"/>
      <c r="D666" s="20"/>
    </row>
    <row r="667" ht="15.75" customHeight="1">
      <c r="B667" s="22"/>
      <c r="C667" s="65"/>
      <c r="D667" s="20"/>
    </row>
    <row r="668" ht="15.75" customHeight="1">
      <c r="B668" s="22"/>
      <c r="C668" s="65"/>
      <c r="D668" s="20"/>
    </row>
    <row r="669" ht="15.75" customHeight="1">
      <c r="B669" s="22"/>
      <c r="C669" s="65"/>
      <c r="D669" s="20"/>
    </row>
    <row r="670" ht="15.75" customHeight="1">
      <c r="B670" s="22"/>
      <c r="C670" s="65"/>
      <c r="D670" s="20"/>
    </row>
    <row r="671" ht="15.75" customHeight="1">
      <c r="B671" s="22"/>
      <c r="C671" s="65"/>
      <c r="D671" s="20"/>
    </row>
    <row r="672" ht="15.75" customHeight="1">
      <c r="B672" s="22"/>
      <c r="C672" s="65"/>
      <c r="D672" s="20"/>
    </row>
    <row r="673" ht="15.75" customHeight="1">
      <c r="B673" s="22"/>
      <c r="C673" s="65"/>
      <c r="D673" s="20"/>
    </row>
    <row r="674" ht="15.75" customHeight="1">
      <c r="B674" s="22"/>
      <c r="C674" s="65"/>
      <c r="D674" s="20"/>
    </row>
    <row r="675" ht="15.75" customHeight="1">
      <c r="B675" s="22"/>
      <c r="C675" s="65"/>
      <c r="D675" s="20"/>
    </row>
    <row r="676" ht="15.75" customHeight="1">
      <c r="B676" s="22"/>
      <c r="C676" s="65"/>
      <c r="D676" s="20"/>
    </row>
    <row r="677" ht="15.75" customHeight="1">
      <c r="B677" s="22"/>
      <c r="C677" s="65"/>
      <c r="D677" s="20"/>
    </row>
    <row r="678" ht="15.75" customHeight="1">
      <c r="B678" s="22"/>
      <c r="C678" s="65"/>
      <c r="D678" s="20"/>
    </row>
    <row r="679" ht="15.75" customHeight="1">
      <c r="B679" s="22"/>
      <c r="C679" s="65"/>
      <c r="D679" s="20"/>
    </row>
    <row r="680" ht="15.75" customHeight="1">
      <c r="B680" s="22"/>
      <c r="C680" s="65"/>
      <c r="D680" s="20"/>
    </row>
    <row r="681" ht="15.75" customHeight="1">
      <c r="B681" s="22"/>
      <c r="C681" s="65"/>
      <c r="D681" s="20"/>
    </row>
    <row r="682" ht="15.75" customHeight="1">
      <c r="B682" s="22"/>
      <c r="C682" s="65"/>
      <c r="D682" s="20"/>
    </row>
    <row r="683" ht="15.75" customHeight="1">
      <c r="B683" s="22"/>
      <c r="C683" s="65"/>
      <c r="D683" s="20"/>
    </row>
    <row r="684" ht="15.75" customHeight="1">
      <c r="B684" s="22"/>
      <c r="C684" s="65"/>
      <c r="D684" s="20"/>
    </row>
    <row r="685" ht="15.75" customHeight="1">
      <c r="B685" s="22"/>
      <c r="C685" s="65"/>
      <c r="D685" s="20"/>
    </row>
    <row r="686" ht="15.75" customHeight="1">
      <c r="B686" s="22"/>
      <c r="C686" s="65"/>
      <c r="D686" s="20"/>
    </row>
    <row r="687" ht="15.75" customHeight="1">
      <c r="B687" s="22"/>
      <c r="C687" s="65"/>
      <c r="D687" s="20"/>
    </row>
    <row r="688" ht="15.75" customHeight="1">
      <c r="B688" s="22"/>
      <c r="C688" s="65"/>
      <c r="D688" s="20"/>
    </row>
    <row r="689" ht="15.75" customHeight="1">
      <c r="B689" s="22"/>
      <c r="C689" s="65"/>
      <c r="D689" s="20"/>
    </row>
    <row r="690" ht="15.75" customHeight="1">
      <c r="B690" s="22"/>
      <c r="C690" s="65"/>
      <c r="D690" s="20"/>
    </row>
    <row r="691" ht="15.75" customHeight="1">
      <c r="B691" s="22"/>
      <c r="C691" s="65"/>
      <c r="D691" s="20"/>
    </row>
    <row r="692" ht="15.75" customHeight="1">
      <c r="B692" s="22"/>
      <c r="C692" s="65"/>
      <c r="D692" s="20"/>
    </row>
    <row r="693" ht="15.75" customHeight="1">
      <c r="B693" s="22"/>
      <c r="C693" s="65"/>
      <c r="D693" s="20"/>
    </row>
    <row r="694" ht="15.75" customHeight="1">
      <c r="B694" s="22"/>
      <c r="C694" s="65"/>
      <c r="D694" s="20"/>
    </row>
    <row r="695" ht="15.75" customHeight="1">
      <c r="B695" s="22"/>
      <c r="C695" s="65"/>
      <c r="D695" s="20"/>
    </row>
    <row r="696" ht="15.75" customHeight="1">
      <c r="B696" s="22"/>
      <c r="C696" s="65"/>
      <c r="D696" s="20"/>
    </row>
    <row r="697" ht="15.75" customHeight="1">
      <c r="B697" s="22"/>
      <c r="C697" s="65"/>
      <c r="D697" s="20"/>
    </row>
    <row r="698" ht="15.75" customHeight="1">
      <c r="B698" s="22"/>
      <c r="C698" s="65"/>
      <c r="D698" s="20"/>
    </row>
    <row r="699" ht="15.75" customHeight="1">
      <c r="B699" s="22"/>
      <c r="C699" s="65"/>
      <c r="D699" s="20"/>
    </row>
    <row r="700" ht="15.75" customHeight="1">
      <c r="B700" s="22"/>
      <c r="C700" s="65"/>
      <c r="D700" s="20"/>
    </row>
    <row r="701" ht="15.75" customHeight="1">
      <c r="B701" s="22"/>
      <c r="C701" s="65"/>
      <c r="D701" s="20"/>
    </row>
    <row r="702" ht="15.75" customHeight="1">
      <c r="B702" s="22"/>
      <c r="C702" s="65"/>
      <c r="D702" s="20"/>
    </row>
    <row r="703" ht="15.75" customHeight="1">
      <c r="B703" s="22"/>
      <c r="C703" s="65"/>
      <c r="D703" s="20"/>
    </row>
    <row r="704" ht="15.75" customHeight="1">
      <c r="B704" s="22"/>
      <c r="C704" s="65"/>
      <c r="D704" s="20"/>
    </row>
    <row r="705" ht="15.75" customHeight="1">
      <c r="B705" s="22"/>
      <c r="C705" s="65"/>
      <c r="D705" s="20"/>
    </row>
    <row r="706" ht="15.75" customHeight="1">
      <c r="B706" s="22"/>
      <c r="C706" s="65"/>
      <c r="D706" s="20"/>
    </row>
    <row r="707" ht="15.75" customHeight="1">
      <c r="B707" s="22"/>
      <c r="C707" s="65"/>
      <c r="D707" s="20"/>
    </row>
    <row r="708" ht="15.75" customHeight="1">
      <c r="B708" s="22"/>
      <c r="C708" s="65"/>
      <c r="D708" s="20"/>
    </row>
    <row r="709" ht="15.75" customHeight="1">
      <c r="B709" s="22"/>
      <c r="C709" s="65"/>
      <c r="D709" s="20"/>
    </row>
    <row r="710" ht="15.75" customHeight="1">
      <c r="B710" s="22"/>
      <c r="C710" s="65"/>
      <c r="D710" s="20"/>
    </row>
    <row r="711" ht="15.75" customHeight="1">
      <c r="B711" s="22"/>
      <c r="C711" s="65"/>
      <c r="D711" s="20"/>
    </row>
    <row r="712" ht="15.75" customHeight="1">
      <c r="B712" s="22"/>
      <c r="C712" s="65"/>
      <c r="D712" s="20"/>
    </row>
    <row r="713" ht="15.75" customHeight="1">
      <c r="B713" s="22"/>
      <c r="C713" s="65"/>
      <c r="D713" s="20"/>
    </row>
    <row r="714" ht="15.75" customHeight="1">
      <c r="B714" s="22"/>
      <c r="C714" s="65"/>
      <c r="D714" s="20"/>
    </row>
    <row r="715" ht="15.75" customHeight="1">
      <c r="B715" s="22"/>
      <c r="C715" s="65"/>
      <c r="D715" s="20"/>
    </row>
    <row r="716" ht="15.75" customHeight="1">
      <c r="B716" s="22"/>
      <c r="C716" s="65"/>
      <c r="D716" s="20"/>
    </row>
    <row r="717" ht="15.75" customHeight="1">
      <c r="B717" s="22"/>
      <c r="C717" s="65"/>
      <c r="D717" s="20"/>
    </row>
    <row r="718" ht="15.75" customHeight="1">
      <c r="B718" s="22"/>
      <c r="C718" s="65"/>
      <c r="D718" s="20"/>
    </row>
    <row r="719" ht="15.75" customHeight="1">
      <c r="B719" s="22"/>
      <c r="C719" s="65"/>
      <c r="D719" s="20"/>
    </row>
    <row r="720" ht="15.75" customHeight="1">
      <c r="B720" s="22"/>
      <c r="C720" s="65"/>
      <c r="D720" s="20"/>
    </row>
    <row r="721" ht="15.75" customHeight="1">
      <c r="B721" s="22"/>
      <c r="C721" s="65"/>
      <c r="D721" s="20"/>
    </row>
    <row r="722" ht="15.75" customHeight="1">
      <c r="B722" s="22"/>
      <c r="C722" s="65"/>
      <c r="D722" s="20"/>
    </row>
    <row r="723" ht="15.75" customHeight="1">
      <c r="B723" s="22"/>
      <c r="C723" s="65"/>
      <c r="D723" s="20"/>
    </row>
    <row r="724" ht="15.75" customHeight="1">
      <c r="B724" s="22"/>
      <c r="C724" s="65"/>
      <c r="D724" s="20"/>
    </row>
    <row r="725" ht="15.75" customHeight="1">
      <c r="B725" s="22"/>
      <c r="C725" s="65"/>
      <c r="D725" s="20"/>
    </row>
    <row r="726" ht="15.75" customHeight="1">
      <c r="B726" s="22"/>
      <c r="C726" s="65"/>
      <c r="D726" s="20"/>
    </row>
    <row r="727" ht="15.75" customHeight="1">
      <c r="B727" s="22"/>
      <c r="C727" s="65"/>
      <c r="D727" s="20"/>
    </row>
    <row r="728" ht="15.75" customHeight="1">
      <c r="B728" s="22"/>
      <c r="C728" s="65"/>
      <c r="D728" s="20"/>
    </row>
    <row r="729" ht="15.75" customHeight="1">
      <c r="B729" s="22"/>
      <c r="C729" s="65"/>
      <c r="D729" s="20"/>
    </row>
    <row r="730" ht="15.75" customHeight="1">
      <c r="B730" s="22"/>
      <c r="C730" s="65"/>
      <c r="D730" s="20"/>
    </row>
    <row r="731" ht="15.75" customHeight="1">
      <c r="B731" s="22"/>
      <c r="C731" s="65"/>
      <c r="D731" s="20"/>
    </row>
    <row r="732" ht="15.75" customHeight="1">
      <c r="B732" s="22"/>
      <c r="C732" s="65"/>
      <c r="D732" s="20"/>
    </row>
    <row r="733" ht="15.75" customHeight="1">
      <c r="B733" s="22"/>
      <c r="C733" s="65"/>
      <c r="D733" s="20"/>
    </row>
    <row r="734" ht="15.75" customHeight="1">
      <c r="B734" s="22"/>
      <c r="C734" s="65"/>
      <c r="D734" s="20"/>
    </row>
    <row r="735" ht="15.75" customHeight="1">
      <c r="B735" s="22"/>
      <c r="C735" s="65"/>
      <c r="D735" s="20"/>
    </row>
    <row r="736" ht="15.75" customHeight="1">
      <c r="B736" s="22"/>
      <c r="C736" s="65"/>
      <c r="D736" s="20"/>
    </row>
    <row r="737" ht="15.75" customHeight="1">
      <c r="B737" s="22"/>
      <c r="C737" s="65"/>
      <c r="D737" s="20"/>
    </row>
    <row r="738" ht="15.75" customHeight="1">
      <c r="B738" s="22"/>
      <c r="C738" s="65"/>
      <c r="D738" s="20"/>
    </row>
    <row r="739" ht="15.75" customHeight="1">
      <c r="B739" s="22"/>
      <c r="C739" s="65"/>
      <c r="D739" s="20"/>
    </row>
    <row r="740" ht="15.75" customHeight="1">
      <c r="B740" s="22"/>
      <c r="C740" s="65"/>
      <c r="D740" s="20"/>
    </row>
    <row r="741" ht="15.75" customHeight="1">
      <c r="B741" s="22"/>
      <c r="C741" s="65"/>
      <c r="D741" s="20"/>
    </row>
    <row r="742" ht="15.75" customHeight="1">
      <c r="B742" s="22"/>
      <c r="C742" s="65"/>
      <c r="D742" s="20"/>
    </row>
    <row r="743" ht="15.75" customHeight="1">
      <c r="B743" s="22"/>
      <c r="C743" s="65"/>
      <c r="D743" s="20"/>
    </row>
    <row r="744" ht="15.75" customHeight="1">
      <c r="B744" s="22"/>
      <c r="C744" s="65"/>
      <c r="D744" s="20"/>
    </row>
    <row r="745" ht="15.75" customHeight="1">
      <c r="B745" s="22"/>
      <c r="C745" s="65"/>
      <c r="D745" s="20"/>
    </row>
    <row r="746" ht="15.75" customHeight="1">
      <c r="B746" s="22"/>
      <c r="C746" s="65"/>
      <c r="D746" s="20"/>
    </row>
    <row r="747" ht="15.75" customHeight="1">
      <c r="B747" s="22"/>
      <c r="C747" s="65"/>
      <c r="D747" s="20"/>
    </row>
    <row r="748" ht="15.75" customHeight="1">
      <c r="B748" s="22"/>
      <c r="C748" s="65"/>
      <c r="D748" s="20"/>
    </row>
    <row r="749" ht="15.75" customHeight="1">
      <c r="B749" s="22"/>
      <c r="C749" s="65"/>
      <c r="D749" s="20"/>
    </row>
    <row r="750" ht="15.75" customHeight="1">
      <c r="B750" s="22"/>
      <c r="C750" s="65"/>
      <c r="D750" s="20"/>
    </row>
    <row r="751" ht="15.75" customHeight="1">
      <c r="B751" s="22"/>
      <c r="C751" s="65"/>
      <c r="D751" s="20"/>
    </row>
    <row r="752" ht="15.75" customHeight="1">
      <c r="B752" s="22"/>
      <c r="C752" s="65"/>
      <c r="D752" s="20"/>
    </row>
    <row r="753" ht="15.75" customHeight="1">
      <c r="B753" s="22"/>
      <c r="C753" s="65"/>
      <c r="D753" s="20"/>
    </row>
    <row r="754" ht="15.75" customHeight="1">
      <c r="B754" s="22"/>
      <c r="C754" s="65"/>
      <c r="D754" s="20"/>
    </row>
    <row r="755" ht="15.75" customHeight="1">
      <c r="B755" s="22"/>
      <c r="C755" s="65"/>
      <c r="D755" s="20"/>
    </row>
    <row r="756" ht="15.75" customHeight="1">
      <c r="B756" s="22"/>
      <c r="C756" s="65"/>
      <c r="D756" s="20"/>
    </row>
    <row r="757" ht="15.75" customHeight="1">
      <c r="B757" s="22"/>
      <c r="C757" s="65"/>
      <c r="D757" s="20"/>
    </row>
    <row r="758" ht="15.75" customHeight="1">
      <c r="B758" s="22"/>
      <c r="C758" s="65"/>
      <c r="D758" s="20"/>
    </row>
    <row r="759" ht="15.75" customHeight="1">
      <c r="B759" s="22"/>
      <c r="C759" s="65"/>
      <c r="D759" s="20"/>
    </row>
    <row r="760" ht="15.75" customHeight="1">
      <c r="B760" s="22"/>
      <c r="C760" s="65"/>
      <c r="D760" s="20"/>
    </row>
    <row r="761" ht="15.75" customHeight="1">
      <c r="B761" s="22"/>
      <c r="C761" s="65"/>
      <c r="D761" s="20"/>
    </row>
    <row r="762" ht="15.75" customHeight="1">
      <c r="B762" s="22"/>
      <c r="C762" s="65"/>
      <c r="D762" s="20"/>
    </row>
    <row r="763" ht="15.75" customHeight="1">
      <c r="B763" s="22"/>
      <c r="C763" s="65"/>
      <c r="D763" s="20"/>
    </row>
    <row r="764" ht="15.75" customHeight="1">
      <c r="B764" s="22"/>
      <c r="C764" s="65"/>
      <c r="D764" s="20"/>
    </row>
    <row r="765" ht="15.75" customHeight="1">
      <c r="B765" s="22"/>
      <c r="C765" s="65"/>
      <c r="D765" s="20"/>
    </row>
    <row r="766" ht="15.75" customHeight="1">
      <c r="B766" s="22"/>
      <c r="C766" s="65"/>
      <c r="D766" s="20"/>
    </row>
    <row r="767" ht="15.75" customHeight="1">
      <c r="B767" s="22"/>
      <c r="C767" s="65"/>
      <c r="D767" s="20"/>
    </row>
    <row r="768" ht="15.75" customHeight="1">
      <c r="B768" s="22"/>
      <c r="C768" s="65"/>
      <c r="D768" s="20"/>
    </row>
    <row r="769" ht="15.75" customHeight="1">
      <c r="B769" s="22"/>
      <c r="C769" s="65"/>
      <c r="D769" s="20"/>
    </row>
    <row r="770" ht="15.75" customHeight="1">
      <c r="B770" s="22"/>
      <c r="C770" s="65"/>
      <c r="D770" s="20"/>
    </row>
    <row r="771" ht="15.75" customHeight="1">
      <c r="B771" s="22"/>
      <c r="C771" s="65"/>
      <c r="D771" s="20"/>
    </row>
    <row r="772" ht="15.75" customHeight="1">
      <c r="B772" s="22"/>
      <c r="C772" s="65"/>
      <c r="D772" s="20"/>
    </row>
    <row r="773" ht="15.75" customHeight="1">
      <c r="B773" s="22"/>
      <c r="C773" s="65"/>
      <c r="D773" s="20"/>
    </row>
    <row r="774" ht="15.75" customHeight="1">
      <c r="B774" s="22"/>
      <c r="C774" s="65"/>
      <c r="D774" s="20"/>
    </row>
    <row r="775" ht="15.75" customHeight="1">
      <c r="B775" s="22"/>
      <c r="C775" s="65"/>
      <c r="D775" s="20"/>
    </row>
    <row r="776" ht="15.75" customHeight="1">
      <c r="B776" s="22"/>
      <c r="C776" s="65"/>
      <c r="D776" s="20"/>
    </row>
    <row r="777" ht="15.75" customHeight="1">
      <c r="B777" s="22"/>
      <c r="C777" s="65"/>
      <c r="D777" s="20"/>
    </row>
    <row r="778" ht="15.75" customHeight="1">
      <c r="B778" s="22"/>
      <c r="C778" s="65"/>
      <c r="D778" s="20"/>
    </row>
    <row r="779" ht="15.75" customHeight="1">
      <c r="B779" s="22"/>
      <c r="C779" s="65"/>
      <c r="D779" s="20"/>
    </row>
    <row r="780" ht="15.75" customHeight="1">
      <c r="B780" s="22"/>
      <c r="C780" s="65"/>
      <c r="D780" s="20"/>
    </row>
    <row r="781" ht="15.75" customHeight="1">
      <c r="B781" s="22"/>
      <c r="C781" s="65"/>
      <c r="D781" s="20"/>
    </row>
    <row r="782" ht="15.75" customHeight="1">
      <c r="B782" s="22"/>
      <c r="C782" s="65"/>
      <c r="D782" s="20"/>
    </row>
    <row r="783" ht="15.75" customHeight="1">
      <c r="B783" s="22"/>
      <c r="C783" s="65"/>
      <c r="D783" s="20"/>
    </row>
    <row r="784" ht="15.75" customHeight="1">
      <c r="B784" s="22"/>
      <c r="C784" s="65"/>
      <c r="D784" s="20"/>
    </row>
    <row r="785" ht="15.75" customHeight="1">
      <c r="B785" s="22"/>
      <c r="C785" s="65"/>
      <c r="D785" s="20"/>
    </row>
    <row r="786" ht="15.75" customHeight="1">
      <c r="B786" s="22"/>
      <c r="C786" s="65"/>
      <c r="D786" s="20"/>
    </row>
    <row r="787" ht="15.75" customHeight="1">
      <c r="B787" s="22"/>
      <c r="C787" s="65"/>
      <c r="D787" s="20"/>
    </row>
    <row r="788" ht="15.75" customHeight="1">
      <c r="B788" s="22"/>
      <c r="C788" s="65"/>
      <c r="D788" s="20"/>
    </row>
    <row r="789" ht="15.75" customHeight="1">
      <c r="B789" s="22"/>
      <c r="C789" s="65"/>
      <c r="D789" s="20"/>
    </row>
    <row r="790" ht="15.75" customHeight="1">
      <c r="B790" s="22"/>
      <c r="C790" s="65"/>
      <c r="D790" s="20"/>
    </row>
    <row r="791" ht="15.75" customHeight="1">
      <c r="B791" s="22"/>
      <c r="C791" s="65"/>
      <c r="D791" s="20"/>
    </row>
    <row r="792" ht="15.75" customHeight="1">
      <c r="B792" s="22"/>
      <c r="C792" s="65"/>
      <c r="D792" s="20"/>
    </row>
    <row r="793" ht="15.75" customHeight="1">
      <c r="B793" s="22"/>
      <c r="C793" s="65"/>
      <c r="D793" s="20"/>
    </row>
    <row r="794" ht="15.75" customHeight="1">
      <c r="B794" s="22"/>
      <c r="C794" s="65"/>
      <c r="D794" s="20"/>
    </row>
    <row r="795" ht="15.75" customHeight="1">
      <c r="B795" s="22"/>
      <c r="C795" s="65"/>
      <c r="D795" s="20"/>
    </row>
    <row r="796" ht="15.75" customHeight="1">
      <c r="B796" s="22"/>
      <c r="C796" s="65"/>
      <c r="D796" s="20"/>
    </row>
    <row r="797" ht="15.75" customHeight="1">
      <c r="B797" s="22"/>
      <c r="C797" s="65"/>
      <c r="D797" s="20"/>
    </row>
    <row r="798" ht="15.75" customHeight="1">
      <c r="B798" s="22"/>
      <c r="C798" s="65"/>
      <c r="D798" s="20"/>
    </row>
    <row r="799" ht="15.75" customHeight="1">
      <c r="B799" s="22"/>
      <c r="C799" s="65"/>
      <c r="D799" s="20"/>
    </row>
    <row r="800" ht="15.75" customHeight="1">
      <c r="B800" s="22"/>
      <c r="C800" s="65"/>
      <c r="D800" s="20"/>
    </row>
    <row r="801" ht="15.75" customHeight="1">
      <c r="B801" s="22"/>
      <c r="C801" s="65"/>
      <c r="D801" s="20"/>
    </row>
    <row r="802" ht="15.75" customHeight="1">
      <c r="B802" s="22"/>
      <c r="C802" s="65"/>
      <c r="D802" s="20"/>
    </row>
    <row r="803" ht="15.75" customHeight="1">
      <c r="B803" s="22"/>
      <c r="C803" s="65"/>
      <c r="D803" s="20"/>
    </row>
    <row r="804" ht="15.75" customHeight="1">
      <c r="B804" s="22"/>
      <c r="C804" s="65"/>
      <c r="D804" s="20"/>
    </row>
    <row r="805" ht="15.75" customHeight="1">
      <c r="B805" s="22"/>
      <c r="C805" s="65"/>
      <c r="D805" s="20"/>
    </row>
    <row r="806" ht="15.75" customHeight="1">
      <c r="B806" s="22"/>
      <c r="C806" s="65"/>
      <c r="D806" s="20"/>
    </row>
    <row r="807" ht="15.75" customHeight="1">
      <c r="B807" s="22"/>
      <c r="C807" s="65"/>
      <c r="D807" s="20"/>
    </row>
    <row r="808" ht="15.75" customHeight="1">
      <c r="B808" s="22"/>
      <c r="C808" s="65"/>
      <c r="D808" s="20"/>
    </row>
    <row r="809" ht="15.75" customHeight="1">
      <c r="B809" s="22"/>
      <c r="C809" s="65"/>
      <c r="D809" s="20"/>
    </row>
    <row r="810" ht="15.75" customHeight="1">
      <c r="B810" s="22"/>
      <c r="C810" s="65"/>
      <c r="D810" s="20"/>
    </row>
    <row r="811" ht="15.75" customHeight="1">
      <c r="B811" s="22"/>
      <c r="C811" s="65"/>
      <c r="D811" s="20"/>
    </row>
    <row r="812" ht="15.75" customHeight="1">
      <c r="B812" s="22"/>
      <c r="C812" s="65"/>
      <c r="D812" s="20"/>
    </row>
    <row r="813" ht="15.75" customHeight="1">
      <c r="B813" s="22"/>
      <c r="C813" s="65"/>
      <c r="D813" s="20"/>
    </row>
    <row r="814" ht="15.75" customHeight="1">
      <c r="B814" s="22"/>
      <c r="C814" s="65"/>
      <c r="D814" s="20"/>
    </row>
    <row r="815" ht="15.75" customHeight="1">
      <c r="B815" s="22"/>
      <c r="C815" s="65"/>
      <c r="D815" s="20"/>
    </row>
    <row r="816" ht="15.75" customHeight="1">
      <c r="B816" s="22"/>
      <c r="C816" s="65"/>
      <c r="D816" s="20"/>
    </row>
    <row r="817" ht="15.75" customHeight="1">
      <c r="B817" s="22"/>
      <c r="C817" s="65"/>
      <c r="D817" s="20"/>
    </row>
    <row r="818" ht="15.75" customHeight="1">
      <c r="B818" s="22"/>
      <c r="C818" s="65"/>
      <c r="D818" s="20"/>
    </row>
    <row r="819" ht="15.75" customHeight="1">
      <c r="B819" s="22"/>
      <c r="C819" s="65"/>
      <c r="D819" s="20"/>
    </row>
    <row r="820" ht="15.75" customHeight="1">
      <c r="B820" s="22"/>
      <c r="C820" s="65"/>
      <c r="D820" s="20"/>
    </row>
    <row r="821" ht="15.75" customHeight="1">
      <c r="B821" s="22"/>
      <c r="C821" s="65"/>
      <c r="D821" s="20"/>
    </row>
    <row r="822" ht="15.75" customHeight="1">
      <c r="B822" s="22"/>
      <c r="C822" s="65"/>
      <c r="D822" s="20"/>
    </row>
    <row r="823" ht="15.75" customHeight="1">
      <c r="B823" s="22"/>
      <c r="C823" s="65"/>
      <c r="D823" s="20"/>
    </row>
    <row r="824" ht="15.75" customHeight="1">
      <c r="B824" s="22"/>
      <c r="C824" s="65"/>
      <c r="D824" s="20"/>
    </row>
    <row r="825" ht="15.75" customHeight="1">
      <c r="B825" s="22"/>
      <c r="C825" s="65"/>
      <c r="D825" s="20"/>
    </row>
    <row r="826" ht="15.75" customHeight="1">
      <c r="B826" s="22"/>
      <c r="C826" s="65"/>
      <c r="D826" s="20"/>
    </row>
    <row r="827" ht="15.75" customHeight="1">
      <c r="B827" s="22"/>
      <c r="C827" s="65"/>
      <c r="D827" s="20"/>
    </row>
    <row r="828" ht="15.75" customHeight="1">
      <c r="B828" s="22"/>
      <c r="C828" s="65"/>
      <c r="D828" s="20"/>
    </row>
    <row r="829" ht="15.75" customHeight="1">
      <c r="B829" s="22"/>
      <c r="C829" s="65"/>
      <c r="D829" s="20"/>
    </row>
    <row r="830" ht="15.75" customHeight="1">
      <c r="B830" s="22"/>
      <c r="C830" s="65"/>
      <c r="D830" s="20"/>
    </row>
    <row r="831" ht="15.75" customHeight="1">
      <c r="B831" s="22"/>
      <c r="C831" s="65"/>
      <c r="D831" s="20"/>
    </row>
    <row r="832" ht="15.75" customHeight="1">
      <c r="B832" s="22"/>
      <c r="C832" s="65"/>
      <c r="D832" s="20"/>
    </row>
    <row r="833" ht="15.75" customHeight="1">
      <c r="B833" s="22"/>
      <c r="C833" s="65"/>
      <c r="D833" s="20"/>
    </row>
    <row r="834" ht="15.75" customHeight="1">
      <c r="B834" s="22"/>
      <c r="C834" s="65"/>
      <c r="D834" s="20"/>
    </row>
    <row r="835" ht="15.75" customHeight="1">
      <c r="B835" s="22"/>
      <c r="C835" s="65"/>
      <c r="D835" s="20"/>
    </row>
    <row r="836" ht="15.75" customHeight="1">
      <c r="B836" s="22"/>
      <c r="C836" s="65"/>
      <c r="D836" s="20"/>
    </row>
    <row r="837" ht="15.75" customHeight="1">
      <c r="B837" s="22"/>
      <c r="C837" s="65"/>
      <c r="D837" s="20"/>
    </row>
    <row r="838" ht="15.75" customHeight="1">
      <c r="B838" s="22"/>
      <c r="C838" s="65"/>
      <c r="D838" s="20"/>
    </row>
    <row r="839" ht="15.75" customHeight="1">
      <c r="B839" s="22"/>
      <c r="C839" s="65"/>
      <c r="D839" s="20"/>
    </row>
    <row r="840" ht="15.75" customHeight="1">
      <c r="B840" s="22"/>
      <c r="C840" s="65"/>
      <c r="D840" s="20"/>
    </row>
    <row r="841" ht="15.75" customHeight="1">
      <c r="B841" s="22"/>
      <c r="C841" s="65"/>
      <c r="D841" s="20"/>
    </row>
    <row r="842" ht="15.75" customHeight="1">
      <c r="B842" s="22"/>
      <c r="C842" s="65"/>
      <c r="D842" s="20"/>
    </row>
    <row r="843" ht="15.75" customHeight="1">
      <c r="B843" s="22"/>
      <c r="C843" s="65"/>
      <c r="D843" s="20"/>
    </row>
    <row r="844" ht="15.75" customHeight="1">
      <c r="B844" s="22"/>
      <c r="C844" s="65"/>
      <c r="D844" s="20"/>
    </row>
    <row r="845" ht="15.75" customHeight="1">
      <c r="B845" s="22"/>
      <c r="C845" s="65"/>
      <c r="D845" s="20"/>
    </row>
    <row r="846" ht="15.75" customHeight="1">
      <c r="B846" s="22"/>
      <c r="C846" s="65"/>
      <c r="D846" s="20"/>
    </row>
    <row r="847" ht="15.75" customHeight="1">
      <c r="B847" s="22"/>
      <c r="C847" s="65"/>
      <c r="D847" s="20"/>
    </row>
    <row r="848" ht="15.75" customHeight="1">
      <c r="B848" s="22"/>
      <c r="C848" s="65"/>
      <c r="D848" s="20"/>
    </row>
    <row r="849" ht="15.75" customHeight="1">
      <c r="B849" s="22"/>
      <c r="C849" s="65"/>
      <c r="D849" s="20"/>
    </row>
    <row r="850" ht="15.75" customHeight="1">
      <c r="B850" s="22"/>
      <c r="C850" s="65"/>
      <c r="D850" s="20"/>
    </row>
    <row r="851" ht="15.75" customHeight="1">
      <c r="B851" s="22"/>
      <c r="C851" s="65"/>
      <c r="D851" s="20"/>
    </row>
    <row r="852" ht="15.75" customHeight="1">
      <c r="B852" s="22"/>
      <c r="C852" s="65"/>
      <c r="D852" s="20"/>
    </row>
    <row r="853" ht="15.75" customHeight="1">
      <c r="B853" s="22"/>
      <c r="C853" s="65"/>
      <c r="D853" s="20"/>
    </row>
    <row r="854" ht="15.75" customHeight="1">
      <c r="B854" s="22"/>
      <c r="C854" s="65"/>
      <c r="D854" s="20"/>
    </row>
    <row r="855" ht="15.75" customHeight="1">
      <c r="B855" s="22"/>
      <c r="C855" s="65"/>
      <c r="D855" s="20"/>
    </row>
    <row r="856" ht="15.75" customHeight="1">
      <c r="B856" s="22"/>
      <c r="C856" s="65"/>
      <c r="D856" s="20"/>
    </row>
    <row r="857" ht="15.75" customHeight="1">
      <c r="B857" s="22"/>
      <c r="C857" s="65"/>
      <c r="D857" s="20"/>
    </row>
    <row r="858" ht="15.75" customHeight="1">
      <c r="B858" s="22"/>
      <c r="C858" s="65"/>
      <c r="D858" s="20"/>
    </row>
    <row r="859" ht="15.75" customHeight="1">
      <c r="B859" s="22"/>
      <c r="C859" s="65"/>
      <c r="D859" s="20"/>
    </row>
    <row r="860" ht="15.75" customHeight="1">
      <c r="B860" s="22"/>
      <c r="C860" s="65"/>
      <c r="D860" s="20"/>
    </row>
    <row r="861" ht="15.75" customHeight="1">
      <c r="B861" s="22"/>
      <c r="C861" s="65"/>
      <c r="D861" s="20"/>
    </row>
    <row r="862" ht="15.75" customHeight="1">
      <c r="B862" s="22"/>
      <c r="C862" s="65"/>
      <c r="D862" s="20"/>
    </row>
    <row r="863" ht="15.75" customHeight="1">
      <c r="B863" s="22"/>
      <c r="C863" s="65"/>
      <c r="D863" s="20"/>
    </row>
    <row r="864" ht="15.75" customHeight="1">
      <c r="B864" s="22"/>
      <c r="C864" s="65"/>
      <c r="D864" s="20"/>
    </row>
    <row r="865" ht="15.75" customHeight="1">
      <c r="B865" s="22"/>
      <c r="C865" s="65"/>
      <c r="D865" s="20"/>
    </row>
    <row r="866" ht="15.75" customHeight="1">
      <c r="B866" s="22"/>
      <c r="C866" s="65"/>
      <c r="D866" s="20"/>
    </row>
    <row r="867" ht="15.75" customHeight="1">
      <c r="B867" s="22"/>
      <c r="C867" s="65"/>
      <c r="D867" s="20"/>
    </row>
    <row r="868" ht="15.75" customHeight="1">
      <c r="B868" s="22"/>
      <c r="C868" s="65"/>
      <c r="D868" s="20"/>
    </row>
    <row r="869" ht="15.75" customHeight="1">
      <c r="B869" s="22"/>
      <c r="C869" s="65"/>
      <c r="D869" s="20"/>
    </row>
    <row r="870" ht="15.75" customHeight="1">
      <c r="B870" s="22"/>
      <c r="C870" s="65"/>
      <c r="D870" s="20"/>
    </row>
    <row r="871" ht="15.75" customHeight="1">
      <c r="B871" s="22"/>
      <c r="C871" s="65"/>
      <c r="D871" s="20"/>
    </row>
    <row r="872" ht="15.75" customHeight="1">
      <c r="B872" s="22"/>
      <c r="C872" s="65"/>
      <c r="D872" s="20"/>
    </row>
    <row r="873" ht="15.75" customHeight="1">
      <c r="B873" s="22"/>
      <c r="C873" s="65"/>
      <c r="D873" s="20"/>
    </row>
    <row r="874" ht="15.75" customHeight="1">
      <c r="B874" s="22"/>
      <c r="C874" s="65"/>
      <c r="D874" s="20"/>
    </row>
    <row r="875" ht="15.75" customHeight="1">
      <c r="B875" s="22"/>
      <c r="C875" s="65"/>
      <c r="D875" s="20"/>
    </row>
    <row r="876" ht="15.75" customHeight="1">
      <c r="B876" s="22"/>
      <c r="C876" s="65"/>
      <c r="D876" s="20"/>
    </row>
    <row r="877" ht="15.75" customHeight="1">
      <c r="B877" s="22"/>
      <c r="C877" s="65"/>
      <c r="D877" s="20"/>
    </row>
    <row r="878" ht="15.75" customHeight="1">
      <c r="B878" s="22"/>
      <c r="C878" s="65"/>
      <c r="D878" s="20"/>
    </row>
    <row r="879" ht="15.75" customHeight="1">
      <c r="B879" s="22"/>
      <c r="C879" s="65"/>
      <c r="D879" s="20"/>
    </row>
    <row r="880" ht="15.75" customHeight="1">
      <c r="B880" s="22"/>
      <c r="C880" s="65"/>
      <c r="D880" s="20"/>
    </row>
    <row r="881" ht="15.75" customHeight="1">
      <c r="B881" s="22"/>
      <c r="C881" s="65"/>
      <c r="D881" s="20"/>
    </row>
    <row r="882" ht="15.75" customHeight="1">
      <c r="B882" s="22"/>
      <c r="C882" s="65"/>
      <c r="D882" s="20"/>
    </row>
    <row r="883" ht="15.75" customHeight="1">
      <c r="B883" s="22"/>
      <c r="C883" s="65"/>
      <c r="D883" s="20"/>
    </row>
    <row r="884" ht="15.75" customHeight="1">
      <c r="B884" s="22"/>
      <c r="C884" s="65"/>
      <c r="D884" s="20"/>
    </row>
    <row r="885" ht="15.75" customHeight="1">
      <c r="B885" s="22"/>
      <c r="C885" s="65"/>
      <c r="D885" s="20"/>
    </row>
    <row r="886" ht="15.75" customHeight="1">
      <c r="B886" s="22"/>
      <c r="C886" s="65"/>
      <c r="D886" s="20"/>
    </row>
    <row r="887" ht="15.75" customHeight="1">
      <c r="B887" s="22"/>
      <c r="C887" s="65"/>
      <c r="D887" s="20"/>
    </row>
    <row r="888" ht="15.75" customHeight="1">
      <c r="B888" s="22"/>
      <c r="C888" s="65"/>
      <c r="D888" s="20"/>
    </row>
    <row r="889" ht="15.75" customHeight="1">
      <c r="B889" s="22"/>
      <c r="C889" s="65"/>
      <c r="D889" s="20"/>
    </row>
    <row r="890" ht="15.75" customHeight="1">
      <c r="B890" s="22"/>
      <c r="C890" s="65"/>
      <c r="D890" s="20"/>
    </row>
    <row r="891" ht="15.75" customHeight="1">
      <c r="B891" s="22"/>
      <c r="C891" s="65"/>
      <c r="D891" s="20"/>
    </row>
    <row r="892" ht="15.75" customHeight="1">
      <c r="B892" s="22"/>
      <c r="C892" s="65"/>
      <c r="D892" s="20"/>
    </row>
    <row r="893" ht="15.75" customHeight="1">
      <c r="B893" s="22"/>
      <c r="C893" s="65"/>
      <c r="D893" s="20"/>
    </row>
    <row r="894" ht="15.75" customHeight="1">
      <c r="B894" s="22"/>
      <c r="C894" s="65"/>
      <c r="D894" s="20"/>
    </row>
    <row r="895" ht="15.75" customHeight="1">
      <c r="B895" s="22"/>
      <c r="C895" s="65"/>
      <c r="D895" s="20"/>
    </row>
    <row r="896" ht="15.75" customHeight="1">
      <c r="B896" s="22"/>
      <c r="C896" s="65"/>
      <c r="D896" s="20"/>
    </row>
    <row r="897" ht="15.75" customHeight="1">
      <c r="B897" s="22"/>
      <c r="C897" s="65"/>
      <c r="D897" s="20"/>
    </row>
    <row r="898" ht="15.75" customHeight="1">
      <c r="B898" s="22"/>
      <c r="C898" s="65"/>
      <c r="D898" s="20"/>
    </row>
    <row r="899" ht="15.75" customHeight="1">
      <c r="B899" s="22"/>
      <c r="C899" s="65"/>
      <c r="D899" s="20"/>
    </row>
    <row r="900" ht="15.75" customHeight="1">
      <c r="B900" s="22"/>
      <c r="C900" s="65"/>
      <c r="D900" s="20"/>
    </row>
    <row r="901" ht="15.75" customHeight="1">
      <c r="B901" s="22"/>
      <c r="C901" s="65"/>
      <c r="D901" s="20"/>
    </row>
    <row r="902" ht="15.75" customHeight="1">
      <c r="B902" s="22"/>
      <c r="C902" s="65"/>
      <c r="D902" s="20"/>
    </row>
    <row r="903" ht="15.75" customHeight="1">
      <c r="B903" s="22"/>
      <c r="C903" s="65"/>
      <c r="D903" s="20"/>
    </row>
    <row r="904" ht="15.75" customHeight="1">
      <c r="B904" s="22"/>
      <c r="C904" s="65"/>
      <c r="D904" s="20"/>
    </row>
    <row r="905" ht="15.75" customHeight="1">
      <c r="B905" s="22"/>
      <c r="C905" s="65"/>
      <c r="D905" s="20"/>
    </row>
    <row r="906" ht="15.75" customHeight="1">
      <c r="B906" s="22"/>
      <c r="C906" s="65"/>
      <c r="D906" s="20"/>
    </row>
    <row r="907" ht="15.75" customHeight="1">
      <c r="B907" s="22"/>
      <c r="C907" s="65"/>
      <c r="D907" s="20"/>
    </row>
    <row r="908" ht="15.75" customHeight="1">
      <c r="B908" s="22"/>
      <c r="C908" s="65"/>
      <c r="D908" s="20"/>
    </row>
    <row r="909" ht="15.75" customHeight="1">
      <c r="B909" s="22"/>
      <c r="C909" s="65"/>
      <c r="D909" s="20"/>
    </row>
    <row r="910" ht="15.75" customHeight="1">
      <c r="B910" s="22"/>
      <c r="C910" s="65"/>
      <c r="D910" s="20"/>
    </row>
    <row r="911" ht="15.75" customHeight="1">
      <c r="B911" s="22"/>
      <c r="C911" s="65"/>
      <c r="D911" s="20"/>
    </row>
    <row r="912" ht="15.75" customHeight="1">
      <c r="B912" s="22"/>
      <c r="C912" s="65"/>
      <c r="D912" s="20"/>
    </row>
    <row r="913" ht="15.75" customHeight="1">
      <c r="B913" s="22"/>
      <c r="C913" s="65"/>
      <c r="D913" s="20"/>
    </row>
    <row r="914" ht="15.75" customHeight="1">
      <c r="B914" s="22"/>
      <c r="C914" s="65"/>
      <c r="D914" s="20"/>
    </row>
    <row r="915" ht="15.75" customHeight="1">
      <c r="B915" s="22"/>
      <c r="C915" s="65"/>
      <c r="D915" s="20"/>
    </row>
    <row r="916" ht="15.75" customHeight="1">
      <c r="B916" s="22"/>
      <c r="C916" s="65"/>
      <c r="D916" s="20"/>
    </row>
    <row r="917" ht="15.75" customHeight="1">
      <c r="B917" s="22"/>
      <c r="C917" s="65"/>
      <c r="D917" s="20"/>
    </row>
    <row r="918" ht="15.75" customHeight="1">
      <c r="B918" s="22"/>
      <c r="C918" s="65"/>
      <c r="D918" s="20"/>
    </row>
    <row r="919" ht="15.75" customHeight="1">
      <c r="B919" s="22"/>
      <c r="C919" s="65"/>
      <c r="D919" s="20"/>
    </row>
    <row r="920" ht="15.75" customHeight="1">
      <c r="B920" s="22"/>
      <c r="C920" s="65"/>
      <c r="D920" s="20"/>
    </row>
    <row r="921" ht="15.75" customHeight="1">
      <c r="B921" s="22"/>
      <c r="C921" s="65"/>
      <c r="D921" s="20"/>
    </row>
    <row r="922" ht="15.75" customHeight="1">
      <c r="B922" s="22"/>
      <c r="C922" s="65"/>
      <c r="D922" s="20"/>
    </row>
    <row r="923" ht="15.75" customHeight="1">
      <c r="B923" s="22"/>
      <c r="C923" s="65"/>
      <c r="D923" s="20"/>
    </row>
    <row r="924" ht="15.75" customHeight="1">
      <c r="B924" s="22"/>
      <c r="C924" s="65"/>
      <c r="D924" s="20"/>
    </row>
    <row r="925" ht="15.75" customHeight="1">
      <c r="B925" s="22"/>
      <c r="C925" s="65"/>
      <c r="D925" s="20"/>
    </row>
    <row r="926" ht="15.75" customHeight="1">
      <c r="B926" s="22"/>
      <c r="C926" s="65"/>
      <c r="D926" s="20"/>
    </row>
    <row r="927" ht="15.75" customHeight="1">
      <c r="B927" s="22"/>
      <c r="C927" s="65"/>
      <c r="D927" s="20"/>
    </row>
    <row r="928" ht="15.75" customHeight="1">
      <c r="B928" s="22"/>
      <c r="C928" s="65"/>
      <c r="D928" s="20"/>
    </row>
    <row r="929" ht="15.75" customHeight="1">
      <c r="B929" s="22"/>
      <c r="C929" s="65"/>
      <c r="D929" s="20"/>
    </row>
    <row r="930" ht="15.75" customHeight="1">
      <c r="B930" s="22"/>
      <c r="C930" s="65"/>
      <c r="D930" s="20"/>
    </row>
    <row r="931" ht="15.75" customHeight="1">
      <c r="B931" s="22"/>
      <c r="C931" s="65"/>
      <c r="D931" s="20"/>
    </row>
    <row r="932" ht="15.75" customHeight="1">
      <c r="B932" s="22"/>
      <c r="C932" s="65"/>
      <c r="D932" s="20"/>
    </row>
    <row r="933" ht="15.75" customHeight="1">
      <c r="B933" s="22"/>
      <c r="C933" s="65"/>
      <c r="D933" s="20"/>
    </row>
    <row r="934" ht="15.75" customHeight="1">
      <c r="B934" s="22"/>
      <c r="C934" s="65"/>
      <c r="D934" s="20"/>
    </row>
    <row r="935" ht="15.75" customHeight="1">
      <c r="B935" s="22"/>
      <c r="C935" s="65"/>
      <c r="D935" s="20"/>
    </row>
    <row r="936" ht="15.75" customHeight="1">
      <c r="B936" s="22"/>
      <c r="C936" s="65"/>
      <c r="D936" s="20"/>
    </row>
    <row r="937" ht="15.75" customHeight="1">
      <c r="B937" s="22"/>
      <c r="C937" s="65"/>
      <c r="D937" s="20"/>
    </row>
    <row r="938" ht="15.75" customHeight="1">
      <c r="B938" s="22"/>
      <c r="C938" s="65"/>
      <c r="D938" s="20"/>
    </row>
    <row r="939" ht="15.75" customHeight="1">
      <c r="B939" s="22"/>
      <c r="C939" s="65"/>
      <c r="D939" s="20"/>
    </row>
    <row r="940" ht="15.75" customHeight="1">
      <c r="B940" s="22"/>
      <c r="C940" s="65"/>
      <c r="D940" s="20"/>
    </row>
    <row r="941" ht="15.75" customHeight="1">
      <c r="B941" s="22"/>
      <c r="C941" s="65"/>
      <c r="D941" s="20"/>
    </row>
    <row r="942" ht="15.75" customHeight="1">
      <c r="B942" s="22"/>
      <c r="C942" s="65"/>
      <c r="D942" s="20"/>
    </row>
    <row r="943" ht="15.75" customHeight="1">
      <c r="B943" s="22"/>
      <c r="C943" s="65"/>
      <c r="D943" s="20"/>
    </row>
    <row r="944" ht="15.75" customHeight="1">
      <c r="B944" s="22"/>
      <c r="C944" s="65"/>
      <c r="D944" s="20"/>
    </row>
    <row r="945" ht="15.75" customHeight="1">
      <c r="B945" s="22"/>
      <c r="C945" s="65"/>
      <c r="D945" s="20"/>
    </row>
    <row r="946" ht="15.75" customHeight="1">
      <c r="B946" s="22"/>
      <c r="C946" s="65"/>
      <c r="D946" s="20"/>
    </row>
    <row r="947" ht="15.75" customHeight="1">
      <c r="B947" s="22"/>
      <c r="C947" s="65"/>
      <c r="D947" s="20"/>
    </row>
    <row r="948" ht="15.75" customHeight="1">
      <c r="B948" s="22"/>
      <c r="C948" s="65"/>
      <c r="D948" s="20"/>
    </row>
    <row r="949" ht="15.75" customHeight="1">
      <c r="B949" s="22"/>
      <c r="C949" s="65"/>
      <c r="D949" s="20"/>
    </row>
    <row r="950" ht="15.75" customHeight="1">
      <c r="B950" s="22"/>
      <c r="C950" s="65"/>
      <c r="D950" s="20"/>
    </row>
    <row r="951" ht="15.75" customHeight="1">
      <c r="B951" s="22"/>
      <c r="C951" s="65"/>
      <c r="D951" s="20"/>
    </row>
    <row r="952" ht="15.75" customHeight="1">
      <c r="B952" s="22"/>
      <c r="C952" s="65"/>
      <c r="D952" s="20"/>
    </row>
    <row r="953" ht="15.75" customHeight="1">
      <c r="B953" s="22"/>
      <c r="C953" s="65"/>
      <c r="D953" s="20"/>
    </row>
    <row r="954" ht="15.75" customHeight="1">
      <c r="B954" s="22"/>
      <c r="C954" s="65"/>
      <c r="D954" s="20"/>
    </row>
    <row r="955" ht="15.75" customHeight="1">
      <c r="B955" s="22"/>
      <c r="C955" s="65"/>
      <c r="D955" s="20"/>
    </row>
    <row r="956" ht="15.75" customHeight="1">
      <c r="B956" s="22"/>
      <c r="C956" s="65"/>
      <c r="D956" s="20"/>
    </row>
    <row r="957" ht="15.75" customHeight="1">
      <c r="B957" s="22"/>
      <c r="C957" s="65"/>
      <c r="D957" s="20"/>
    </row>
    <row r="958" ht="15.75" customHeight="1">
      <c r="B958" s="22"/>
      <c r="C958" s="65"/>
      <c r="D958" s="20"/>
    </row>
    <row r="959" ht="15.75" customHeight="1">
      <c r="B959" s="22"/>
      <c r="C959" s="65"/>
      <c r="D959" s="20"/>
    </row>
    <row r="960" ht="15.75" customHeight="1">
      <c r="B960" s="22"/>
      <c r="C960" s="65"/>
      <c r="D960" s="20"/>
    </row>
    <row r="961" ht="15.75" customHeight="1">
      <c r="B961" s="22"/>
      <c r="C961" s="65"/>
      <c r="D961" s="20"/>
    </row>
    <row r="962" ht="15.75" customHeight="1">
      <c r="B962" s="22"/>
      <c r="C962" s="65"/>
      <c r="D962" s="20"/>
    </row>
    <row r="963" ht="15.75" customHeight="1">
      <c r="B963" s="22"/>
      <c r="C963" s="65"/>
      <c r="D963" s="20"/>
    </row>
    <row r="964" ht="15.75" customHeight="1">
      <c r="B964" s="22"/>
      <c r="C964" s="65"/>
      <c r="D964" s="20"/>
    </row>
    <row r="965" ht="15.75" customHeight="1">
      <c r="B965" s="22"/>
      <c r="C965" s="65"/>
      <c r="D965" s="20"/>
    </row>
    <row r="966" ht="15.75" customHeight="1">
      <c r="B966" s="22"/>
      <c r="C966" s="65"/>
      <c r="D966" s="20"/>
    </row>
    <row r="967" ht="15.75" customHeight="1">
      <c r="B967" s="22"/>
      <c r="C967" s="65"/>
      <c r="D967" s="20"/>
    </row>
    <row r="968" ht="15.75" customHeight="1">
      <c r="B968" s="22"/>
      <c r="C968" s="65"/>
      <c r="D968" s="20"/>
    </row>
    <row r="969" ht="15.75" customHeight="1">
      <c r="B969" s="22"/>
      <c r="C969" s="65"/>
      <c r="D969" s="20"/>
    </row>
    <row r="970" ht="15.75" customHeight="1">
      <c r="B970" s="22"/>
      <c r="C970" s="65"/>
      <c r="D970" s="20"/>
    </row>
    <row r="971" ht="15.75" customHeight="1">
      <c r="B971" s="22"/>
      <c r="C971" s="65"/>
      <c r="D971" s="20"/>
    </row>
    <row r="972" ht="15.75" customHeight="1">
      <c r="B972" s="22"/>
      <c r="C972" s="65"/>
      <c r="D972" s="20"/>
    </row>
    <row r="973" ht="15.75" customHeight="1">
      <c r="B973" s="22"/>
      <c r="C973" s="65"/>
      <c r="D973" s="20"/>
    </row>
    <row r="974" ht="15.75" customHeight="1">
      <c r="B974" s="22"/>
      <c r="C974" s="65"/>
      <c r="D974" s="20"/>
    </row>
    <row r="975" ht="15.75" customHeight="1">
      <c r="B975" s="22"/>
      <c r="C975" s="65"/>
      <c r="D975" s="20"/>
    </row>
    <row r="976" ht="15.75" customHeight="1">
      <c r="B976" s="22"/>
      <c r="C976" s="65"/>
      <c r="D976" s="20"/>
    </row>
    <row r="977" ht="15.75" customHeight="1">
      <c r="B977" s="22"/>
      <c r="C977" s="65"/>
      <c r="D977" s="20"/>
    </row>
    <row r="978" ht="15.75" customHeight="1">
      <c r="B978" s="22"/>
      <c r="C978" s="65"/>
      <c r="D978" s="20"/>
    </row>
    <row r="979" ht="15.75" customHeight="1">
      <c r="B979" s="22"/>
      <c r="C979" s="65"/>
      <c r="D979" s="20"/>
    </row>
    <row r="980" ht="15.75" customHeight="1">
      <c r="B980" s="22"/>
      <c r="C980" s="65"/>
      <c r="D980" s="20"/>
    </row>
    <row r="981" ht="15.75" customHeight="1">
      <c r="B981" s="22"/>
      <c r="C981" s="65"/>
      <c r="D981" s="20"/>
    </row>
    <row r="982" ht="15.75" customHeight="1">
      <c r="B982" s="22"/>
      <c r="C982" s="65"/>
      <c r="D982" s="20"/>
    </row>
    <row r="983" ht="15.75" customHeight="1">
      <c r="B983" s="22"/>
      <c r="C983" s="65"/>
      <c r="D983" s="20"/>
    </row>
    <row r="984" ht="15.75" customHeight="1">
      <c r="B984" s="22"/>
      <c r="C984" s="65"/>
      <c r="D984" s="20"/>
    </row>
    <row r="985" ht="15.75" customHeight="1">
      <c r="B985" s="22"/>
      <c r="C985" s="65"/>
      <c r="D985" s="20"/>
    </row>
    <row r="986" ht="15.75" customHeight="1">
      <c r="B986" s="22"/>
      <c r="C986" s="65"/>
      <c r="D986" s="20"/>
    </row>
    <row r="987" ht="15.75" customHeight="1">
      <c r="B987" s="22"/>
      <c r="C987" s="65"/>
      <c r="D987" s="20"/>
    </row>
    <row r="988" ht="15.75" customHeight="1">
      <c r="B988" s="22"/>
      <c r="C988" s="65"/>
      <c r="D988" s="20"/>
    </row>
    <row r="989" ht="15.75" customHeight="1">
      <c r="B989" s="22"/>
      <c r="C989" s="65"/>
      <c r="D989" s="20"/>
    </row>
    <row r="990" ht="15.75" customHeight="1">
      <c r="B990" s="22"/>
      <c r="C990" s="65"/>
      <c r="D990" s="20"/>
    </row>
    <row r="991" ht="15.75" customHeight="1">
      <c r="B991" s="22"/>
      <c r="C991" s="65"/>
      <c r="D991" s="20"/>
    </row>
    <row r="992" ht="15.75" customHeight="1">
      <c r="B992" s="22"/>
      <c r="C992" s="65"/>
      <c r="D992" s="20"/>
    </row>
    <row r="993" ht="15.75" customHeight="1">
      <c r="B993" s="22"/>
      <c r="C993" s="65"/>
      <c r="D993" s="20"/>
    </row>
    <row r="994" ht="15.75" customHeight="1">
      <c r="B994" s="22"/>
      <c r="C994" s="65"/>
      <c r="D994" s="20"/>
    </row>
    <row r="995" ht="15.75" customHeight="1">
      <c r="B995" s="22"/>
      <c r="C995" s="65"/>
      <c r="D995" s="20"/>
    </row>
    <row r="996" ht="15.75" customHeight="1">
      <c r="B996" s="22"/>
      <c r="C996" s="65"/>
      <c r="D996" s="20"/>
    </row>
    <row r="997" ht="15.75" customHeight="1">
      <c r="B997" s="22"/>
      <c r="C997" s="65"/>
      <c r="D997" s="20"/>
    </row>
    <row r="998" ht="15.75" customHeight="1">
      <c r="B998" s="22"/>
      <c r="C998" s="65"/>
      <c r="D998" s="20"/>
    </row>
    <row r="999" ht="15.75" customHeight="1">
      <c r="B999" s="22"/>
      <c r="C999" s="65"/>
      <c r="D999" s="20"/>
    </row>
    <row r="1000" ht="15.75" customHeight="1">
      <c r="B1000" s="22"/>
      <c r="C1000" s="65"/>
      <c r="D1000" s="20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20.75"/>
    <col customWidth="1" min="5" max="5" width="55.0"/>
    <col customWidth="1" min="6" max="26" width="10.63"/>
  </cols>
  <sheetData>
    <row r="1">
      <c r="A1" s="10" t="s">
        <v>130</v>
      </c>
      <c r="B1" s="30" t="s">
        <v>9</v>
      </c>
      <c r="C1" s="70" t="s">
        <v>141</v>
      </c>
      <c r="D1" s="70" t="s">
        <v>142</v>
      </c>
      <c r="E1" s="71" t="s">
        <v>143</v>
      </c>
    </row>
    <row r="2">
      <c r="A2" s="72">
        <v>109.0</v>
      </c>
      <c r="B2" s="20" t="s">
        <v>17</v>
      </c>
      <c r="C2" s="73">
        <v>0.27</v>
      </c>
      <c r="D2" s="73">
        <v>67.78163458504253</v>
      </c>
    </row>
    <row r="3">
      <c r="A3" s="25">
        <v>110.0</v>
      </c>
      <c r="B3" s="20" t="s">
        <v>21</v>
      </c>
      <c r="C3" s="73">
        <v>0.51</v>
      </c>
      <c r="D3" s="73">
        <v>76.69040882037294</v>
      </c>
    </row>
    <row r="4">
      <c r="A4" s="25">
        <v>111.0</v>
      </c>
      <c r="B4" s="20" t="s">
        <v>24</v>
      </c>
      <c r="C4" s="73">
        <v>0.38</v>
      </c>
      <c r="D4" s="73">
        <v>70.34904904175468</v>
      </c>
    </row>
    <row r="5">
      <c r="A5" s="25">
        <v>112.0</v>
      </c>
      <c r="B5" s="20" t="s">
        <v>26</v>
      </c>
      <c r="C5" s="73">
        <v>0.5</v>
      </c>
      <c r="D5" s="73">
        <v>81.6470454416197</v>
      </c>
    </row>
    <row r="6">
      <c r="A6" s="25">
        <v>113.0</v>
      </c>
      <c r="B6" s="20" t="s">
        <v>28</v>
      </c>
      <c r="C6" s="73">
        <v>0.32</v>
      </c>
      <c r="D6" s="73">
        <v>67.2595656670113</v>
      </c>
    </row>
    <row r="7">
      <c r="A7" s="25">
        <v>114.0</v>
      </c>
      <c r="B7" s="20" t="s">
        <v>30</v>
      </c>
      <c r="C7" s="73">
        <v>0.46</v>
      </c>
      <c r="D7" s="73">
        <v>73.17268088768678</v>
      </c>
    </row>
    <row r="8">
      <c r="A8" s="25">
        <v>115.0</v>
      </c>
      <c r="B8" s="20" t="s">
        <v>32</v>
      </c>
      <c r="C8" s="73">
        <v>0.4</v>
      </c>
      <c r="D8" s="73">
        <v>70.45521508544496</v>
      </c>
    </row>
    <row r="9">
      <c r="A9" s="25">
        <v>116.0</v>
      </c>
      <c r="B9" s="20" t="s">
        <v>34</v>
      </c>
      <c r="C9" s="73">
        <v>0.43</v>
      </c>
      <c r="D9" s="73">
        <v>74.32151861189362</v>
      </c>
    </row>
    <row r="10">
      <c r="A10" s="25">
        <v>117.0</v>
      </c>
      <c r="B10" s="20" t="s">
        <v>36</v>
      </c>
      <c r="C10" s="73">
        <v>0.34</v>
      </c>
      <c r="D10" s="73">
        <v>65.40465971796448</v>
      </c>
    </row>
    <row r="11">
      <c r="A11" s="25">
        <v>118.0</v>
      </c>
      <c r="B11" s="20" t="s">
        <v>38</v>
      </c>
      <c r="C11" s="73">
        <v>0.49</v>
      </c>
      <c r="D11" s="73">
        <v>69.12560315835647</v>
      </c>
    </row>
    <row r="12">
      <c r="A12" s="25">
        <v>119.0</v>
      </c>
      <c r="B12" s="20" t="s">
        <v>40</v>
      </c>
      <c r="C12" s="73">
        <v>0.32</v>
      </c>
      <c r="D12" s="73">
        <v>72.85208468819988</v>
      </c>
    </row>
    <row r="13">
      <c r="A13" s="74">
        <v>120.0</v>
      </c>
      <c r="B13" s="29" t="s">
        <v>42</v>
      </c>
      <c r="C13" s="75">
        <v>0.54</v>
      </c>
      <c r="D13" s="76">
        <v>80.25873775998858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63.38"/>
    <col customWidth="1" min="3" max="3" width="17.38"/>
    <col customWidth="1" min="4" max="4" width="17.25"/>
    <col customWidth="1" min="5" max="5" width="8.88"/>
    <col customWidth="1" min="6" max="6" width="9.0"/>
    <col customWidth="1" min="7" max="7" width="9.25"/>
    <col customWidth="1" min="8" max="9" width="11.38"/>
    <col customWidth="1" min="10" max="10" width="13.25"/>
    <col customWidth="1" min="11" max="11" width="41.0"/>
    <col customWidth="1" min="12" max="12" width="60.13"/>
    <col customWidth="1" min="13" max="14" width="11.38"/>
    <col customWidth="1" min="15" max="26" width="10.63"/>
  </cols>
  <sheetData>
    <row r="1">
      <c r="A1" s="77"/>
      <c r="B1" s="77"/>
      <c r="C1" s="77"/>
      <c r="D1" s="77"/>
      <c r="E1" s="77"/>
      <c r="F1" s="77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7"/>
      <c r="B2" s="79" t="s">
        <v>144</v>
      </c>
      <c r="C2" s="80" t="s">
        <v>145</v>
      </c>
      <c r="D2" s="81"/>
      <c r="E2" s="81"/>
      <c r="F2" s="81"/>
      <c r="G2" s="81"/>
      <c r="H2" s="81"/>
      <c r="I2" s="82"/>
      <c r="J2" s="80" t="s">
        <v>146</v>
      </c>
      <c r="K2" s="80" t="s">
        <v>147</v>
      </c>
      <c r="L2" s="83" t="s">
        <v>148</v>
      </c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8"/>
      <c r="B3" s="84" t="s">
        <v>149</v>
      </c>
      <c r="C3" s="85" t="s">
        <v>150</v>
      </c>
      <c r="D3" s="78"/>
      <c r="E3" s="78"/>
      <c r="F3" s="86" t="s">
        <v>151</v>
      </c>
      <c r="G3" s="87"/>
      <c r="H3" s="88" t="s">
        <v>152</v>
      </c>
      <c r="I3" s="89"/>
      <c r="J3" s="85" t="s">
        <v>153</v>
      </c>
      <c r="K3" s="85" t="s">
        <v>154</v>
      </c>
      <c r="L3" s="90" t="s">
        <v>155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8"/>
      <c r="B4" s="84" t="s">
        <v>156</v>
      </c>
      <c r="C4" s="85" t="s">
        <v>150</v>
      </c>
      <c r="D4" s="78"/>
      <c r="E4" s="78"/>
      <c r="F4" s="91" t="s">
        <v>157</v>
      </c>
      <c r="G4" s="92"/>
      <c r="H4" s="93" t="s">
        <v>158</v>
      </c>
      <c r="I4" s="94"/>
      <c r="J4" s="85" t="s">
        <v>159</v>
      </c>
      <c r="K4" s="85" t="s">
        <v>160</v>
      </c>
      <c r="L4" s="90" t="s">
        <v>161</v>
      </c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8"/>
      <c r="B5" s="84" t="s">
        <v>162</v>
      </c>
      <c r="C5" s="85" t="s">
        <v>150</v>
      </c>
      <c r="D5" s="78"/>
      <c r="E5" s="78"/>
      <c r="F5" s="91" t="s">
        <v>163</v>
      </c>
      <c r="G5" s="92"/>
      <c r="H5" s="93" t="s">
        <v>164</v>
      </c>
      <c r="I5" s="94"/>
      <c r="J5" s="85" t="s">
        <v>165</v>
      </c>
      <c r="K5" s="85" t="s">
        <v>166</v>
      </c>
      <c r="L5" s="90" t="s">
        <v>167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8"/>
      <c r="B6" s="84" t="s">
        <v>168</v>
      </c>
      <c r="C6" s="85" t="s">
        <v>150</v>
      </c>
      <c r="D6" s="78"/>
      <c r="E6" s="78"/>
      <c r="F6" s="91" t="s">
        <v>169</v>
      </c>
      <c r="G6" s="92"/>
      <c r="H6" s="93" t="s">
        <v>170</v>
      </c>
      <c r="I6" s="94"/>
      <c r="J6" s="85" t="s">
        <v>171</v>
      </c>
      <c r="K6" s="85" t="s">
        <v>172</v>
      </c>
      <c r="L6" s="90" t="s">
        <v>173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8"/>
      <c r="B7" s="95" t="s">
        <v>174</v>
      </c>
      <c r="C7" s="96" t="s">
        <v>175</v>
      </c>
      <c r="D7" s="97"/>
      <c r="E7" s="97"/>
      <c r="F7" s="98" t="s">
        <v>176</v>
      </c>
      <c r="G7" s="99"/>
      <c r="H7" s="100" t="s">
        <v>177</v>
      </c>
      <c r="I7" s="101"/>
      <c r="J7" s="96" t="s">
        <v>178</v>
      </c>
      <c r="K7" s="96" t="s">
        <v>179</v>
      </c>
      <c r="L7" s="102" t="s">
        <v>180</v>
      </c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8"/>
      <c r="B9" s="103" t="s">
        <v>181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78"/>
      <c r="B10" s="104" t="s">
        <v>130</v>
      </c>
      <c r="C10" s="105" t="s">
        <v>9</v>
      </c>
      <c r="D10" s="10" t="s">
        <v>182</v>
      </c>
      <c r="E10" s="69" t="s">
        <v>176</v>
      </c>
      <c r="F10" s="69" t="s">
        <v>151</v>
      </c>
      <c r="G10" s="69" t="s">
        <v>157</v>
      </c>
      <c r="H10" s="69" t="s">
        <v>163</v>
      </c>
      <c r="I10" s="69" t="s">
        <v>169</v>
      </c>
      <c r="J10" s="11" t="s">
        <v>183</v>
      </c>
      <c r="K10" s="78"/>
      <c r="L10" s="106"/>
      <c r="M10" s="93"/>
      <c r="N10" s="93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78"/>
      <c r="B11" s="107">
        <v>109.0</v>
      </c>
      <c r="C11" s="93" t="s">
        <v>17</v>
      </c>
      <c r="D11" s="19" t="s">
        <v>184</v>
      </c>
      <c r="E11" s="20" t="s">
        <v>185</v>
      </c>
      <c r="F11" s="20">
        <v>9.1839</v>
      </c>
      <c r="G11" s="20">
        <v>16.5055</v>
      </c>
      <c r="H11" s="20">
        <v>25.072</v>
      </c>
      <c r="I11" s="20">
        <v>3.984</v>
      </c>
      <c r="J11" s="108" t="s">
        <v>186</v>
      </c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78"/>
      <c r="B12" s="107">
        <v>110.0</v>
      </c>
      <c r="C12" s="93" t="s">
        <v>21</v>
      </c>
      <c r="D12" s="19" t="s">
        <v>187</v>
      </c>
      <c r="E12" s="20" t="s">
        <v>185</v>
      </c>
      <c r="F12" s="20">
        <v>3.4817</v>
      </c>
      <c r="G12" s="20">
        <v>8.4591</v>
      </c>
      <c r="H12" s="20">
        <v>24.0855</v>
      </c>
      <c r="I12" s="20">
        <v>3.1691</v>
      </c>
      <c r="J12" s="108" t="s">
        <v>186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107">
        <v>111.0</v>
      </c>
      <c r="C13" s="93" t="s">
        <v>24</v>
      </c>
      <c r="D13" s="19" t="s">
        <v>188</v>
      </c>
      <c r="E13" s="20" t="s">
        <v>185</v>
      </c>
      <c r="F13" s="20">
        <v>7.5161</v>
      </c>
      <c r="G13" s="20">
        <v>25.0548</v>
      </c>
      <c r="H13" s="20">
        <v>27.9796</v>
      </c>
      <c r="I13" s="20">
        <v>4.6308</v>
      </c>
      <c r="J13" s="108" t="s">
        <v>186</v>
      </c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78"/>
      <c r="B14" s="107">
        <v>112.0</v>
      </c>
      <c r="C14" s="93" t="s">
        <v>26</v>
      </c>
      <c r="D14" s="19" t="s">
        <v>189</v>
      </c>
      <c r="E14" s="20">
        <v>13.4523</v>
      </c>
      <c r="F14" s="20">
        <v>4.7011</v>
      </c>
      <c r="G14" s="20">
        <v>13.4502</v>
      </c>
      <c r="H14" s="20">
        <v>31.9314</v>
      </c>
      <c r="I14" s="20" t="s">
        <v>185</v>
      </c>
      <c r="J14" s="108" t="s">
        <v>186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8"/>
      <c r="B15" s="107">
        <v>113.0</v>
      </c>
      <c r="C15" s="93" t="s">
        <v>28</v>
      </c>
      <c r="D15" s="19" t="s">
        <v>190</v>
      </c>
      <c r="E15" s="20">
        <v>16.9975</v>
      </c>
      <c r="F15" s="20">
        <v>14.1227</v>
      </c>
      <c r="G15" s="20">
        <v>21.8069</v>
      </c>
      <c r="H15" s="20">
        <v>38.4057</v>
      </c>
      <c r="I15" s="20">
        <v>6.6513</v>
      </c>
      <c r="J15" s="108" t="s">
        <v>186</v>
      </c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107">
        <v>114.0</v>
      </c>
      <c r="C16" s="93" t="s">
        <v>30</v>
      </c>
      <c r="D16" s="19" t="s">
        <v>191</v>
      </c>
      <c r="E16" s="20" t="s">
        <v>185</v>
      </c>
      <c r="F16" s="20">
        <v>3.164</v>
      </c>
      <c r="G16" s="20">
        <v>3.1506</v>
      </c>
      <c r="H16" s="20">
        <v>17.1301</v>
      </c>
      <c r="I16" s="20" t="s">
        <v>185</v>
      </c>
      <c r="J16" s="108" t="s">
        <v>186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8"/>
      <c r="B17" s="107">
        <v>115.0</v>
      </c>
      <c r="C17" s="93" t="s">
        <v>32</v>
      </c>
      <c r="D17" s="19" t="s">
        <v>192</v>
      </c>
      <c r="E17" s="20" t="s">
        <v>185</v>
      </c>
      <c r="F17" s="20">
        <v>5.7404</v>
      </c>
      <c r="G17" s="20">
        <v>17.615</v>
      </c>
      <c r="H17" s="20">
        <v>21.5381</v>
      </c>
      <c r="I17" s="20">
        <v>3.5699</v>
      </c>
      <c r="J17" s="108" t="s">
        <v>186</v>
      </c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8"/>
      <c r="B18" s="107">
        <v>116.0</v>
      </c>
      <c r="C18" s="93" t="s">
        <v>34</v>
      </c>
      <c r="D18" s="19" t="s">
        <v>193</v>
      </c>
      <c r="E18" s="20" t="s">
        <v>185</v>
      </c>
      <c r="F18" s="20">
        <v>2.8358</v>
      </c>
      <c r="G18" s="20">
        <v>9.8834</v>
      </c>
      <c r="H18" s="20">
        <v>21.4367</v>
      </c>
      <c r="I18" s="20" t="s">
        <v>185</v>
      </c>
      <c r="J18" s="108" t="s">
        <v>186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8"/>
      <c r="B19" s="107">
        <v>117.0</v>
      </c>
      <c r="C19" s="93" t="s">
        <v>36</v>
      </c>
      <c r="D19" s="19" t="s">
        <v>194</v>
      </c>
      <c r="E19" s="20">
        <v>19.6245</v>
      </c>
      <c r="F19" s="20">
        <v>8.0542</v>
      </c>
      <c r="G19" s="20">
        <v>32.4677</v>
      </c>
      <c r="H19" s="20">
        <v>37.3995</v>
      </c>
      <c r="I19" s="20">
        <v>6.7776</v>
      </c>
      <c r="J19" s="108" t="s">
        <v>186</v>
      </c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8"/>
      <c r="B20" s="107">
        <v>118.0</v>
      </c>
      <c r="C20" s="93" t="s">
        <v>38</v>
      </c>
      <c r="D20" s="19" t="s">
        <v>195</v>
      </c>
      <c r="E20" s="20">
        <v>19.7281</v>
      </c>
      <c r="F20" s="20">
        <v>7.3336</v>
      </c>
      <c r="G20" s="20">
        <v>18.3002</v>
      </c>
      <c r="H20" s="20">
        <v>28.1277</v>
      </c>
      <c r="I20" s="20">
        <v>4.2374</v>
      </c>
      <c r="J20" s="108" t="s">
        <v>186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78"/>
      <c r="B21" s="107">
        <v>119.0</v>
      </c>
      <c r="C21" s="93" t="s">
        <v>40</v>
      </c>
      <c r="D21" s="19" t="s">
        <v>196</v>
      </c>
      <c r="E21" s="109" t="s">
        <v>185</v>
      </c>
      <c r="F21" s="20">
        <v>8.4206</v>
      </c>
      <c r="G21" s="20">
        <v>29.9645</v>
      </c>
      <c r="H21" s="20">
        <v>36.7397</v>
      </c>
      <c r="I21" s="20">
        <v>5.254</v>
      </c>
      <c r="J21" s="108" t="s">
        <v>186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78"/>
      <c r="B22" s="107">
        <v>120.0</v>
      </c>
      <c r="C22" s="110" t="s">
        <v>42</v>
      </c>
      <c r="D22" s="10" t="s">
        <v>197</v>
      </c>
      <c r="E22" s="11" t="s">
        <v>185</v>
      </c>
      <c r="F22" s="11">
        <v>10.9585</v>
      </c>
      <c r="G22" s="11">
        <v>18.4937</v>
      </c>
      <c r="H22" s="11">
        <v>41.7097</v>
      </c>
      <c r="I22" s="11">
        <v>3.716</v>
      </c>
      <c r="J22" s="108" t="s">
        <v>198</v>
      </c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2.88"/>
    <col customWidth="1" min="3" max="3" width="11.38"/>
    <col customWidth="1" min="4" max="4" width="14.13"/>
    <col customWidth="1" min="5" max="5" width="11.13"/>
    <col customWidth="1" min="6" max="6" width="7.75"/>
    <col customWidth="1" min="7" max="7" width="22.75"/>
    <col customWidth="1" min="8" max="8" width="13.63"/>
    <col customWidth="1" min="9" max="9" width="14.88"/>
    <col customWidth="1" min="10" max="10" width="12.88"/>
    <col customWidth="1" min="11" max="11" width="16.13"/>
    <col customWidth="1" min="12" max="12" width="10.63"/>
    <col customWidth="1" min="13" max="13" width="12.25"/>
    <col customWidth="1" min="14" max="14" width="13.88"/>
    <col customWidth="1" min="15" max="17" width="10.63"/>
    <col customWidth="1" min="18" max="18" width="21.63"/>
    <col customWidth="1" min="19" max="19" width="13.63"/>
    <col customWidth="1" min="20" max="20" width="19.63"/>
    <col customWidth="1" min="21" max="21" width="16.63"/>
    <col customWidth="1" min="22" max="22" width="17.75"/>
    <col customWidth="1" min="23" max="23" width="16.75"/>
    <col customWidth="1" min="24" max="24" width="12.88"/>
    <col customWidth="1" min="25" max="25" width="12.75"/>
    <col customWidth="1" min="26" max="26" width="39.25"/>
    <col customWidth="1" min="27" max="27" width="20.13"/>
    <col customWidth="1" min="28" max="28" width="21.75"/>
    <col customWidth="1" min="29" max="29" width="37.88"/>
    <col customWidth="1" min="30" max="30" width="22.25"/>
    <col customWidth="1" min="31" max="31" width="17.0"/>
    <col customWidth="1" min="32" max="32" width="15.25"/>
    <col customWidth="1" min="33" max="33" width="25.0"/>
    <col customWidth="1" min="34" max="34" width="23.38"/>
    <col customWidth="1" min="35" max="35" width="26.13"/>
    <col customWidth="1" min="36" max="41" width="26.63"/>
    <col customWidth="1" min="42" max="42" width="9.0"/>
    <col customWidth="1" min="43" max="74" width="10.63"/>
  </cols>
  <sheetData>
    <row r="1">
      <c r="A1" s="111"/>
      <c r="B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</row>
    <row r="2">
      <c r="A2" s="112" t="s">
        <v>199</v>
      </c>
      <c r="B2" s="113" t="s">
        <v>200</v>
      </c>
      <c r="C2" s="114" t="s">
        <v>201</v>
      </c>
      <c r="D2" s="112" t="s">
        <v>202</v>
      </c>
      <c r="E2" s="50" t="s">
        <v>203</v>
      </c>
      <c r="F2" s="115" t="s">
        <v>204</v>
      </c>
      <c r="G2" s="50" t="s">
        <v>205</v>
      </c>
      <c r="H2" s="113" t="s">
        <v>206</v>
      </c>
      <c r="I2" s="113" t="s">
        <v>207</v>
      </c>
      <c r="J2" s="65" t="s">
        <v>208</v>
      </c>
      <c r="K2" s="115" t="s">
        <v>209</v>
      </c>
      <c r="L2" s="113" t="s">
        <v>210</v>
      </c>
      <c r="M2" s="113" t="s">
        <v>211</v>
      </c>
      <c r="N2" s="116" t="s">
        <v>212</v>
      </c>
      <c r="O2" s="116" t="s">
        <v>213</v>
      </c>
      <c r="P2" s="116" t="s">
        <v>214</v>
      </c>
      <c r="Q2" s="116" t="s">
        <v>215</v>
      </c>
      <c r="R2" s="116" t="s">
        <v>216</v>
      </c>
      <c r="S2" s="113" t="s">
        <v>217</v>
      </c>
      <c r="T2" s="116" t="s">
        <v>218</v>
      </c>
      <c r="U2" s="116" t="s">
        <v>219</v>
      </c>
      <c r="V2" s="116" t="s">
        <v>220</v>
      </c>
      <c r="W2" s="116" t="s">
        <v>221</v>
      </c>
      <c r="X2" s="113" t="s">
        <v>222</v>
      </c>
      <c r="Y2" s="113" t="s">
        <v>223</v>
      </c>
      <c r="Z2" s="115" t="s">
        <v>224</v>
      </c>
      <c r="AA2" s="115" t="s">
        <v>225</v>
      </c>
      <c r="AB2" s="115" t="s">
        <v>226</v>
      </c>
      <c r="AC2" s="113" t="s">
        <v>227</v>
      </c>
      <c r="AD2" s="113" t="s">
        <v>228</v>
      </c>
      <c r="AE2" s="117" t="s">
        <v>229</v>
      </c>
      <c r="AF2" s="116" t="s">
        <v>230</v>
      </c>
      <c r="AG2" s="115" t="s">
        <v>231</v>
      </c>
      <c r="AH2" s="115" t="s">
        <v>232</v>
      </c>
      <c r="AI2" s="116" t="s">
        <v>233</v>
      </c>
      <c r="AJ2" s="113" t="s">
        <v>234</v>
      </c>
      <c r="AK2" s="113" t="s">
        <v>235</v>
      </c>
      <c r="AL2" s="113" t="s">
        <v>236</v>
      </c>
      <c r="AM2" s="113" t="s">
        <v>237</v>
      </c>
      <c r="AN2" s="113" t="s">
        <v>238</v>
      </c>
      <c r="AO2" s="113" t="s">
        <v>239</v>
      </c>
      <c r="AP2" s="117" t="s">
        <v>240</v>
      </c>
      <c r="AQ2" s="117" t="s">
        <v>241</v>
      </c>
      <c r="AR2" s="117" t="s">
        <v>242</v>
      </c>
      <c r="AS2" s="117" t="s">
        <v>243</v>
      </c>
      <c r="AT2" s="117" t="s">
        <v>244</v>
      </c>
      <c r="AU2" s="117" t="s">
        <v>245</v>
      </c>
      <c r="AV2" s="117" t="s">
        <v>246</v>
      </c>
      <c r="AW2" s="117" t="s">
        <v>247</v>
      </c>
      <c r="AX2" s="117" t="s">
        <v>248</v>
      </c>
      <c r="AY2" s="117" t="s">
        <v>249</v>
      </c>
      <c r="AZ2" s="117" t="s">
        <v>250</v>
      </c>
      <c r="BA2" s="117" t="s">
        <v>251</v>
      </c>
      <c r="BB2" s="117" t="s">
        <v>252</v>
      </c>
      <c r="BC2" s="117" t="s">
        <v>253</v>
      </c>
      <c r="BD2" s="117" t="s">
        <v>254</v>
      </c>
      <c r="BE2" s="117" t="s">
        <v>255</v>
      </c>
      <c r="BF2" s="117" t="s">
        <v>256</v>
      </c>
      <c r="BG2" s="117" t="s">
        <v>257</v>
      </c>
      <c r="BH2" s="117" t="s">
        <v>258</v>
      </c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</row>
    <row r="3">
      <c r="B3" s="20"/>
      <c r="E3" s="20"/>
      <c r="F3" s="118" t="s">
        <v>259</v>
      </c>
      <c r="G3" s="20" t="s">
        <v>260</v>
      </c>
      <c r="H3" s="118" t="s">
        <v>259</v>
      </c>
      <c r="I3" s="118" t="s">
        <v>259</v>
      </c>
      <c r="J3" s="20"/>
      <c r="K3" s="118" t="s">
        <v>259</v>
      </c>
      <c r="L3" s="118" t="s">
        <v>259</v>
      </c>
      <c r="M3" s="118" t="s">
        <v>259</v>
      </c>
      <c r="N3" s="118" t="s">
        <v>259</v>
      </c>
      <c r="O3" s="118" t="s">
        <v>259</v>
      </c>
      <c r="P3" s="118" t="s">
        <v>259</v>
      </c>
      <c r="Q3" s="118" t="s">
        <v>259</v>
      </c>
      <c r="R3" s="20"/>
      <c r="S3" s="20" t="s">
        <v>261</v>
      </c>
      <c r="T3" s="20" t="s">
        <v>262</v>
      </c>
      <c r="U3" s="20" t="s">
        <v>262</v>
      </c>
      <c r="V3" s="20" t="s">
        <v>261</v>
      </c>
      <c r="W3" s="20" t="s">
        <v>262</v>
      </c>
      <c r="X3" s="20" t="s">
        <v>263</v>
      </c>
      <c r="Y3" s="20" t="s">
        <v>264</v>
      </c>
      <c r="Z3" s="20" t="s">
        <v>262</v>
      </c>
      <c r="AA3" s="20"/>
      <c r="AB3" s="20" t="s">
        <v>265</v>
      </c>
      <c r="AC3" s="20" t="s">
        <v>261</v>
      </c>
      <c r="AD3" s="20" t="s">
        <v>266</v>
      </c>
      <c r="AE3" s="20"/>
      <c r="AF3" s="20"/>
      <c r="AG3" s="20" t="s">
        <v>267</v>
      </c>
      <c r="AH3" s="20" t="s">
        <v>267</v>
      </c>
      <c r="AI3" s="20" t="s">
        <v>267</v>
      </c>
      <c r="AJ3" s="20" t="s">
        <v>268</v>
      </c>
      <c r="AK3" s="20" t="s">
        <v>268</v>
      </c>
      <c r="AL3" s="20" t="s">
        <v>268</v>
      </c>
      <c r="AM3" s="20" t="s">
        <v>268</v>
      </c>
      <c r="AN3" s="20" t="s">
        <v>268</v>
      </c>
      <c r="AO3" s="20" t="s">
        <v>268</v>
      </c>
      <c r="AP3" s="20" t="s">
        <v>269</v>
      </c>
      <c r="AQ3" s="20" t="s">
        <v>261</v>
      </c>
      <c r="AR3" s="20" t="s">
        <v>261</v>
      </c>
      <c r="AS3" s="20" t="s">
        <v>269</v>
      </c>
      <c r="AT3" s="20" t="s">
        <v>261</v>
      </c>
      <c r="AU3" s="20" t="s">
        <v>261</v>
      </c>
      <c r="AV3" s="20" t="s">
        <v>261</v>
      </c>
      <c r="AW3" s="20" t="s">
        <v>261</v>
      </c>
      <c r="AX3" s="20" t="s">
        <v>269</v>
      </c>
      <c r="AY3" s="20" t="s">
        <v>269</v>
      </c>
      <c r="AZ3" s="20" t="s">
        <v>261</v>
      </c>
      <c r="BA3" s="20" t="s">
        <v>261</v>
      </c>
      <c r="BB3" s="20" t="s">
        <v>269</v>
      </c>
      <c r="BC3" s="20" t="s">
        <v>261</v>
      </c>
      <c r="BD3" s="20" t="s">
        <v>269</v>
      </c>
      <c r="BE3" s="20" t="s">
        <v>261</v>
      </c>
      <c r="BF3" s="20" t="s">
        <v>269</v>
      </c>
      <c r="BG3" s="20" t="s">
        <v>261</v>
      </c>
      <c r="BH3" s="20" t="s">
        <v>261</v>
      </c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</row>
    <row r="4">
      <c r="A4" s="21" t="s">
        <v>13</v>
      </c>
      <c r="B4" s="20" t="s">
        <v>17</v>
      </c>
      <c r="C4" s="21" t="s">
        <v>270</v>
      </c>
      <c r="D4" s="21" t="s">
        <v>271</v>
      </c>
      <c r="E4" s="35">
        <v>8.101500000000001</v>
      </c>
      <c r="F4" s="20">
        <v>75.91</v>
      </c>
      <c r="G4" s="119">
        <v>0.2714876885000007</v>
      </c>
      <c r="H4" s="35">
        <v>5.616243654822336</v>
      </c>
      <c r="I4" s="35">
        <v>0.4558375634517767</v>
      </c>
      <c r="J4" s="35">
        <v>8.557489412887156</v>
      </c>
      <c r="K4" s="35">
        <v>6.709419211963953</v>
      </c>
      <c r="L4" s="35">
        <v>11.521931024055533</v>
      </c>
      <c r="M4" s="35">
        <v>5.9847715736040605</v>
      </c>
      <c r="N4" s="35">
        <v>1.16</v>
      </c>
      <c r="O4" s="35">
        <v>24.99</v>
      </c>
      <c r="P4" s="20">
        <v>37.28</v>
      </c>
      <c r="Q4" s="35">
        <v>36.57</v>
      </c>
      <c r="R4" s="20" t="s">
        <v>272</v>
      </c>
      <c r="S4" s="35">
        <v>43.05537291345099</v>
      </c>
      <c r="T4" s="35">
        <v>1.5630461614416196</v>
      </c>
      <c r="U4" s="35">
        <v>0.5145106568073076</v>
      </c>
      <c r="V4" s="119">
        <v>703.7529999999999</v>
      </c>
      <c r="W4" s="35">
        <v>32.71316432955736</v>
      </c>
      <c r="X4" s="35">
        <v>28.31817139496738</v>
      </c>
      <c r="Y4" s="35">
        <v>5.51824996552789</v>
      </c>
      <c r="Z4" s="35">
        <v>31.54736859634385</v>
      </c>
      <c r="AA4" s="35">
        <v>36.33088958710208</v>
      </c>
      <c r="AB4" s="39">
        <v>2246.8344153932994</v>
      </c>
      <c r="AC4" s="35">
        <v>136.74212577505062</v>
      </c>
      <c r="AD4" s="35">
        <v>1.8287372473250496</v>
      </c>
      <c r="AE4" s="35">
        <v>0.7660914501839449</v>
      </c>
      <c r="AF4" s="35">
        <v>0.2275071480243012</v>
      </c>
      <c r="AG4" s="35">
        <v>35.29860887575911</v>
      </c>
      <c r="AH4" s="35">
        <v>9.039269447218729</v>
      </c>
      <c r="AI4" s="35">
        <v>0.4470563591360453</v>
      </c>
      <c r="AJ4" s="120">
        <v>2428.8512380421744</v>
      </c>
      <c r="AK4" s="120">
        <v>1254.6297067654957</v>
      </c>
      <c r="AL4" s="120">
        <v>2023.0727158937186</v>
      </c>
      <c r="AM4" s="120">
        <v>2135.989296613339</v>
      </c>
      <c r="AN4" s="120">
        <v>676.5584609801375</v>
      </c>
      <c r="AO4" s="120">
        <v>458.62278168683156</v>
      </c>
      <c r="AP4" s="121">
        <v>37.749375</v>
      </c>
      <c r="AQ4" s="119">
        <v>10.6875</v>
      </c>
      <c r="AR4" s="119">
        <v>44.81</v>
      </c>
      <c r="AS4" s="119">
        <v>53.4867645</v>
      </c>
      <c r="AT4" s="119">
        <v>0.2795</v>
      </c>
      <c r="AU4" s="119">
        <v>53.31</v>
      </c>
      <c r="AV4" s="119">
        <v>13.1345</v>
      </c>
      <c r="AW4" s="119">
        <v>21579.064000000002</v>
      </c>
      <c r="AX4" s="119">
        <v>9.54351</v>
      </c>
      <c r="AY4" s="119">
        <v>3.8772270000000004</v>
      </c>
      <c r="AZ4" s="119">
        <v>308.75</v>
      </c>
      <c r="BA4" s="20" t="s">
        <v>273</v>
      </c>
      <c r="BB4" s="119">
        <v>0.5093289999999999</v>
      </c>
      <c r="BC4" s="119">
        <v>24.0655</v>
      </c>
      <c r="BD4" s="119">
        <v>1.1746905</v>
      </c>
      <c r="BE4" s="119">
        <v>18.3855</v>
      </c>
      <c r="BF4" s="119">
        <v>0.721193</v>
      </c>
      <c r="BG4" s="119" t="s">
        <v>274</v>
      </c>
      <c r="BH4" s="119">
        <v>84.26100000000001</v>
      </c>
      <c r="BI4" s="35"/>
      <c r="BJ4" s="35"/>
    </row>
    <row r="5">
      <c r="A5" s="21" t="s">
        <v>18</v>
      </c>
      <c r="B5" s="20" t="s">
        <v>21</v>
      </c>
      <c r="C5" s="21" t="s">
        <v>270</v>
      </c>
      <c r="D5" s="21" t="s">
        <v>271</v>
      </c>
      <c r="E5" s="35">
        <v>8.367</v>
      </c>
      <c r="F5" s="20">
        <v>80.75</v>
      </c>
      <c r="G5" s="119">
        <v>0.21806815841440216</v>
      </c>
      <c r="H5" s="35">
        <v>3.8040609137055843</v>
      </c>
      <c r="I5" s="35">
        <v>0.20406091370558377</v>
      </c>
      <c r="J5" s="35">
        <v>8.368146128751773</v>
      </c>
      <c r="K5" s="35">
        <v>2.93709185749448</v>
      </c>
      <c r="L5" s="35">
        <v>15.555273918234759</v>
      </c>
      <c r="M5" s="35">
        <v>7.319796954314721</v>
      </c>
      <c r="N5" s="35">
        <v>1.28</v>
      </c>
      <c r="O5" s="35">
        <v>18.77</v>
      </c>
      <c r="P5" s="20">
        <v>41.57</v>
      </c>
      <c r="Q5" s="35">
        <v>38.38</v>
      </c>
      <c r="R5" s="20" t="s">
        <v>275</v>
      </c>
      <c r="S5" s="35">
        <v>13.15708121827411</v>
      </c>
      <c r="T5" s="35">
        <v>0.9248950876326834</v>
      </c>
      <c r="U5" s="35">
        <v>0.5906850804697695</v>
      </c>
      <c r="V5" s="119">
        <v>265.8725</v>
      </c>
      <c r="W5" s="35">
        <v>32.75062877389091</v>
      </c>
      <c r="X5" s="35">
        <v>14.122236321886836</v>
      </c>
      <c r="Y5" s="35">
        <v>2.1918089656844324</v>
      </c>
      <c r="Z5" s="35">
        <v>26.361359030339923</v>
      </c>
      <c r="AA5" s="35">
        <v>32.8876048404247</v>
      </c>
      <c r="AB5" s="39">
        <v>906.3787074848475</v>
      </c>
      <c r="AC5" s="35">
        <v>29.335135412330082</v>
      </c>
      <c r="AD5" s="35">
        <v>1.1154110767113874</v>
      </c>
      <c r="AE5" s="35">
        <v>0.8614671033376994</v>
      </c>
      <c r="AF5" s="35">
        <v>0.12561304727512912</v>
      </c>
      <c r="AG5" s="35">
        <v>17.12907525014335</v>
      </c>
      <c r="AH5" s="35">
        <v>0.7447019653188071</v>
      </c>
      <c r="AI5" s="35">
        <v>0.24249884742085637</v>
      </c>
      <c r="AJ5" s="120">
        <v>1977.049471204352</v>
      </c>
      <c r="AK5" s="120">
        <v>521.9711432760026</v>
      </c>
      <c r="AL5" s="120">
        <v>589.1055554200368</v>
      </c>
      <c r="AM5" s="120">
        <v>1014.9684217985888</v>
      </c>
      <c r="AN5" s="120">
        <v>222.63198321757758</v>
      </c>
      <c r="AO5" s="120">
        <v>160.2663789018332</v>
      </c>
      <c r="AP5" s="121">
        <v>38.784667999999996</v>
      </c>
      <c r="AQ5" s="119">
        <v>10.439499999999999</v>
      </c>
      <c r="AR5" s="119">
        <v>45.57</v>
      </c>
      <c r="AS5" s="119">
        <v>64.34345449999999</v>
      </c>
      <c r="AT5" s="119">
        <v>0.2455</v>
      </c>
      <c r="AU5" s="119">
        <v>55.362</v>
      </c>
      <c r="AV5" s="119">
        <v>10.7135</v>
      </c>
      <c r="AW5" s="119">
        <v>21003.3</v>
      </c>
      <c r="AX5" s="119">
        <v>8.910261</v>
      </c>
      <c r="AY5" s="119">
        <v>3.7198720000000005</v>
      </c>
      <c r="AZ5" s="119">
        <v>298.777</v>
      </c>
      <c r="BA5" s="20">
        <v>0.695</v>
      </c>
      <c r="BB5" s="119">
        <v>0.610067</v>
      </c>
      <c r="BC5" s="119">
        <v>25.0805</v>
      </c>
      <c r="BD5" s="119">
        <v>0.5727614999999999</v>
      </c>
      <c r="BE5" s="119">
        <v>16.971500000000002</v>
      </c>
      <c r="BF5" s="119">
        <v>0.409574</v>
      </c>
      <c r="BG5" s="119" t="s">
        <v>274</v>
      </c>
      <c r="BH5" s="119">
        <v>60.961</v>
      </c>
      <c r="BI5" s="35"/>
      <c r="BJ5" s="35"/>
    </row>
    <row r="6">
      <c r="A6" s="21" t="s">
        <v>22</v>
      </c>
      <c r="B6" s="20" t="s">
        <v>24</v>
      </c>
      <c r="C6" s="21" t="s">
        <v>270</v>
      </c>
      <c r="D6" s="21" t="s">
        <v>271</v>
      </c>
      <c r="E6" s="35">
        <v>8.291</v>
      </c>
      <c r="F6" s="20">
        <v>77.02</v>
      </c>
      <c r="G6" s="119">
        <v>0.34117033688413173</v>
      </c>
      <c r="H6" s="35">
        <v>6.428426395939086</v>
      </c>
      <c r="I6" s="35">
        <v>0.3817258883248731</v>
      </c>
      <c r="J6" s="35">
        <v>9.450051723655884</v>
      </c>
      <c r="K6" s="35">
        <v>6.20460654895709</v>
      </c>
      <c r="L6" s="35">
        <v>24.084437833378914</v>
      </c>
      <c r="M6" s="35">
        <v>9.36040609137056</v>
      </c>
      <c r="N6" s="35">
        <v>5.13</v>
      </c>
      <c r="O6" s="35">
        <v>26.75</v>
      </c>
      <c r="P6" s="20">
        <v>29.19</v>
      </c>
      <c r="Q6" s="35">
        <v>38.93</v>
      </c>
      <c r="R6" s="20" t="s">
        <v>272</v>
      </c>
      <c r="S6" s="35">
        <v>57.34855413042331</v>
      </c>
      <c r="T6" s="35">
        <v>1.6219739981897474</v>
      </c>
      <c r="U6" s="35">
        <v>1.2557525010874293</v>
      </c>
      <c r="V6" s="119">
        <v>796.9685</v>
      </c>
      <c r="W6" s="35">
        <v>29.760933679325312</v>
      </c>
      <c r="X6" s="35">
        <v>51.2125779048254</v>
      </c>
      <c r="Y6" s="35">
        <v>5.034864497188643</v>
      </c>
      <c r="Z6" s="35">
        <v>27.741848665420534</v>
      </c>
      <c r="AA6" s="35">
        <v>33.83642590989503</v>
      </c>
      <c r="AB6" s="39">
        <v>2479.629421653099</v>
      </c>
      <c r="AC6" s="35">
        <v>179.4276778293315</v>
      </c>
      <c r="AD6" s="35">
        <v>2.670662742721949</v>
      </c>
      <c r="AE6" s="35">
        <v>0.76361525788923</v>
      </c>
      <c r="AF6" s="35">
        <v>0.22445337035680715</v>
      </c>
      <c r="AG6" s="35">
        <v>33.36250397321682</v>
      </c>
      <c r="AH6" s="35">
        <v>7.359139881729493</v>
      </c>
      <c r="AI6" s="35">
        <v>0.5522438657563542</v>
      </c>
      <c r="AJ6" s="120">
        <v>2571.2202411032063</v>
      </c>
      <c r="AK6" s="120">
        <v>1256.1138788331573</v>
      </c>
      <c r="AL6" s="120">
        <v>2622.7052129363856</v>
      </c>
      <c r="AM6" s="120">
        <v>2250.7527897137006</v>
      </c>
      <c r="AN6" s="120">
        <v>794.4297795306244</v>
      </c>
      <c r="AO6" s="120">
        <v>547.3436241719321</v>
      </c>
      <c r="AP6" s="121">
        <v>30.375613</v>
      </c>
      <c r="AQ6" s="119">
        <v>9.0245</v>
      </c>
      <c r="AR6" s="119">
        <v>43.02</v>
      </c>
      <c r="AS6" s="119">
        <v>88.44385949999999</v>
      </c>
      <c r="AT6" s="119">
        <v>0.23450000000000001</v>
      </c>
      <c r="AU6" s="119">
        <v>39.477000000000004</v>
      </c>
      <c r="AV6" s="119">
        <v>10.8505</v>
      </c>
      <c r="AW6" s="119">
        <v>16891.227</v>
      </c>
      <c r="AX6" s="119">
        <v>8.336637</v>
      </c>
      <c r="AY6" s="119">
        <v>3.5322620000000002</v>
      </c>
      <c r="AZ6" s="119">
        <v>217.36700000000002</v>
      </c>
      <c r="BA6" s="20">
        <v>0.501</v>
      </c>
      <c r="BB6" s="119">
        <v>0.64273</v>
      </c>
      <c r="BC6" s="119">
        <v>17.4705</v>
      </c>
      <c r="BD6" s="119">
        <v>1.1422364999999999</v>
      </c>
      <c r="BE6" s="119">
        <v>14.9935</v>
      </c>
      <c r="BF6" s="119">
        <v>0.800568</v>
      </c>
      <c r="BG6" s="119" t="s">
        <v>274</v>
      </c>
      <c r="BH6" s="119">
        <v>69.305</v>
      </c>
      <c r="BI6" s="35"/>
      <c r="BJ6" s="35"/>
    </row>
    <row r="7">
      <c r="A7" s="21" t="s">
        <v>25</v>
      </c>
      <c r="B7" s="20" t="s">
        <v>26</v>
      </c>
      <c r="C7" s="21" t="s">
        <v>270</v>
      </c>
      <c r="D7" s="21" t="s">
        <v>271</v>
      </c>
      <c r="E7" s="35">
        <v>8.326</v>
      </c>
      <c r="F7" s="20">
        <v>82.05</v>
      </c>
      <c r="G7" s="119">
        <v>0.21164060938763668</v>
      </c>
      <c r="H7" s="35">
        <v>5.542131979695431</v>
      </c>
      <c r="I7" s="35">
        <v>0.25583756345177666</v>
      </c>
      <c r="J7" s="35">
        <v>9.135848820474314</v>
      </c>
      <c r="K7" s="35">
        <v>4.02014447994557</v>
      </c>
      <c r="L7" s="35">
        <v>28.140015252884382</v>
      </c>
      <c r="M7" s="35">
        <v>8.416243654822335</v>
      </c>
      <c r="N7" s="35">
        <v>0.14</v>
      </c>
      <c r="O7" s="35">
        <v>23.5</v>
      </c>
      <c r="P7" s="20">
        <v>36.63</v>
      </c>
      <c r="Q7" s="35">
        <v>39.73</v>
      </c>
      <c r="R7" s="20" t="s">
        <v>272</v>
      </c>
      <c r="S7" s="35">
        <v>24.826840149146147</v>
      </c>
      <c r="T7" s="35">
        <v>0.9907800543075783</v>
      </c>
      <c r="U7" s="35">
        <v>0.4605893866898652</v>
      </c>
      <c r="V7" s="119">
        <v>351.40250000000003</v>
      </c>
      <c r="W7" s="35">
        <v>29.654855531713157</v>
      </c>
      <c r="X7" s="35">
        <v>25.662797041565064</v>
      </c>
      <c r="Y7" s="35">
        <v>2.7302256123758406</v>
      </c>
      <c r="Z7" s="35">
        <v>24.652684190094874</v>
      </c>
      <c r="AA7" s="35">
        <v>30.724835849785347</v>
      </c>
      <c r="AB7" s="39">
        <v>1259.5436796538781</v>
      </c>
      <c r="AC7" s="35">
        <v>70.13563267541178</v>
      </c>
      <c r="AD7" s="35">
        <v>1.3541878258514468</v>
      </c>
      <c r="AE7" s="35">
        <v>0.8891898659890742</v>
      </c>
      <c r="AF7" s="35">
        <v>0.09879767860287952</v>
      </c>
      <c r="AG7" s="35">
        <v>21.789779854823742</v>
      </c>
      <c r="AH7" s="35">
        <v>1.7331213421611436</v>
      </c>
      <c r="AI7" s="35">
        <v>0.30887834835717487</v>
      </c>
      <c r="AJ7" s="120">
        <v>1790.3142795774163</v>
      </c>
      <c r="AK7" s="120">
        <v>669.4579415290581</v>
      </c>
      <c r="AL7" s="120">
        <v>1225.2850724321504</v>
      </c>
      <c r="AM7" s="120">
        <v>1567.231896925417</v>
      </c>
      <c r="AN7" s="120">
        <v>456.86447295962074</v>
      </c>
      <c r="AO7" s="120">
        <v>262.105692756413</v>
      </c>
      <c r="AP7" s="121">
        <v>34.088983</v>
      </c>
      <c r="AQ7" s="119">
        <v>10.5205</v>
      </c>
      <c r="AR7" s="119">
        <v>45.230000000000004</v>
      </c>
      <c r="AS7" s="119">
        <v>96.4046995</v>
      </c>
      <c r="AT7" s="119">
        <v>0.2425</v>
      </c>
      <c r="AU7" s="119">
        <v>44.585</v>
      </c>
      <c r="AV7" s="119">
        <v>10.0105</v>
      </c>
      <c r="AW7" s="119">
        <v>18843.783</v>
      </c>
      <c r="AX7" s="119">
        <v>8.316142</v>
      </c>
      <c r="AY7" s="119">
        <v>3.72609</v>
      </c>
      <c r="AZ7" s="119">
        <v>245.54600000000002</v>
      </c>
      <c r="BA7" s="20" t="s">
        <v>273</v>
      </c>
      <c r="BB7" s="119">
        <v>0.557169</v>
      </c>
      <c r="BC7" s="119">
        <v>19.8625</v>
      </c>
      <c r="BD7" s="119">
        <v>0.7770954999999999</v>
      </c>
      <c r="BE7" s="119">
        <v>15.2785</v>
      </c>
      <c r="BF7" s="119">
        <v>0.50124</v>
      </c>
      <c r="BG7" s="119" t="s">
        <v>274</v>
      </c>
      <c r="BH7" s="119">
        <v>59.068</v>
      </c>
      <c r="BI7" s="35"/>
      <c r="BJ7" s="35"/>
    </row>
    <row r="8">
      <c r="A8" s="21" t="s">
        <v>27</v>
      </c>
      <c r="B8" s="20" t="s">
        <v>28</v>
      </c>
      <c r="C8" s="21" t="s">
        <v>270</v>
      </c>
      <c r="D8" s="21" t="s">
        <v>271</v>
      </c>
      <c r="E8" s="35">
        <v>8.225</v>
      </c>
      <c r="F8" s="20">
        <v>78.03</v>
      </c>
      <c r="G8" s="119">
        <v>0.4410325492678419</v>
      </c>
      <c r="H8" s="35">
        <v>7.492385786802032</v>
      </c>
      <c r="I8" s="35">
        <v>0.43350253807106603</v>
      </c>
      <c r="J8" s="35">
        <v>8.419834619184051</v>
      </c>
      <c r="K8" s="35">
        <v>6.278033845394452</v>
      </c>
      <c r="L8" s="35">
        <v>28.673643860714048</v>
      </c>
      <c r="M8" s="35">
        <v>8.456852791878173</v>
      </c>
      <c r="N8" s="35">
        <v>4.07</v>
      </c>
      <c r="O8" s="35">
        <v>26.52</v>
      </c>
      <c r="P8" s="20">
        <v>31.05</v>
      </c>
      <c r="Q8" s="35">
        <v>38.36</v>
      </c>
      <c r="R8" s="20" t="s">
        <v>272</v>
      </c>
      <c r="S8" s="35">
        <v>45.500229358954336</v>
      </c>
      <c r="T8" s="35">
        <v>1.4404879453632848</v>
      </c>
      <c r="U8" s="35">
        <v>1.445552414093084</v>
      </c>
      <c r="V8" s="119">
        <v>727.6995</v>
      </c>
      <c r="W8" s="35">
        <v>28.968384150905734</v>
      </c>
      <c r="X8" s="35">
        <v>39.02427188189458</v>
      </c>
      <c r="Y8" s="35">
        <v>4.767189683768482</v>
      </c>
      <c r="Z8" s="35">
        <v>26.193397039406992</v>
      </c>
      <c r="AA8" s="35">
        <v>32.751248988308866</v>
      </c>
      <c r="AB8" s="39">
        <v>1693.430079328512</v>
      </c>
      <c r="AC8" s="35">
        <v>131.5030165405288</v>
      </c>
      <c r="AD8" s="35">
        <v>1.5040511484187002</v>
      </c>
      <c r="AE8" s="35">
        <v>0.8823426300009107</v>
      </c>
      <c r="AF8" s="35">
        <v>0.10327150390146454</v>
      </c>
      <c r="AG8" s="35">
        <v>32.99249672952964</v>
      </c>
      <c r="AH8" s="35">
        <v>3.7270672091761012</v>
      </c>
      <c r="AI8" s="35">
        <v>0.5413806858038871</v>
      </c>
      <c r="AJ8" s="120">
        <v>2044.5713714357926</v>
      </c>
      <c r="AK8" s="120">
        <v>965.341290688446</v>
      </c>
      <c r="AL8" s="120">
        <v>1519.1674542722485</v>
      </c>
      <c r="AM8" s="120">
        <v>2076.362165793007</v>
      </c>
      <c r="AN8" s="120">
        <v>542.9300266971925</v>
      </c>
      <c r="AO8" s="120">
        <v>404.59136598152696</v>
      </c>
      <c r="AP8" s="121">
        <v>28.060906</v>
      </c>
      <c r="AQ8" s="119">
        <v>10.5865</v>
      </c>
      <c r="AR8" s="119">
        <v>41.49</v>
      </c>
      <c r="AS8" s="119">
        <v>109.59654549999999</v>
      </c>
      <c r="AT8" s="119">
        <v>0.2465</v>
      </c>
      <c r="AU8" s="119">
        <v>38.085</v>
      </c>
      <c r="AV8" s="119">
        <v>10.807500000000001</v>
      </c>
      <c r="AW8" s="119">
        <v>16257.574</v>
      </c>
      <c r="AX8" s="119">
        <v>7.750031000000001</v>
      </c>
      <c r="AY8" s="119">
        <v>3.504696</v>
      </c>
      <c r="AZ8" s="119">
        <v>206.341</v>
      </c>
      <c r="BA8" s="20" t="s">
        <v>273</v>
      </c>
      <c r="BB8" s="119">
        <v>0.57943</v>
      </c>
      <c r="BC8" s="119">
        <v>16.878500000000003</v>
      </c>
      <c r="BD8" s="119">
        <v>1.0676255000000001</v>
      </c>
      <c r="BE8" s="119">
        <v>14.9305</v>
      </c>
      <c r="BF8" s="119">
        <v>0.750549</v>
      </c>
      <c r="BG8" s="119" t="s">
        <v>274</v>
      </c>
      <c r="BH8" s="119">
        <v>63.534</v>
      </c>
      <c r="BI8" s="35"/>
      <c r="BJ8" s="35"/>
    </row>
    <row r="9">
      <c r="A9" s="21" t="s">
        <v>29</v>
      </c>
      <c r="B9" s="20" t="s">
        <v>30</v>
      </c>
      <c r="C9" s="21" t="s">
        <v>270</v>
      </c>
      <c r="D9" s="21" t="s">
        <v>271</v>
      </c>
      <c r="E9" s="35">
        <v>8.495</v>
      </c>
      <c r="F9" s="20">
        <v>84.08</v>
      </c>
      <c r="G9" s="119">
        <v>0.5009943608323557</v>
      </c>
      <c r="H9" s="35">
        <v>5.410152284263959</v>
      </c>
      <c r="I9" s="35">
        <v>0.2020304568527919</v>
      </c>
      <c r="J9" s="35">
        <v>7.976809144275912</v>
      </c>
      <c r="K9" s="35">
        <v>2.7718804405104156</v>
      </c>
      <c r="L9" s="35">
        <v>30.061078241071172</v>
      </c>
      <c r="M9" s="35">
        <v>10.548223350253807</v>
      </c>
      <c r="N9" s="35">
        <v>2.86</v>
      </c>
      <c r="O9" s="35">
        <v>24.05</v>
      </c>
      <c r="P9" s="20">
        <v>36.68</v>
      </c>
      <c r="Q9" s="35">
        <v>36.41</v>
      </c>
      <c r="R9" s="20" t="s">
        <v>272</v>
      </c>
      <c r="S9" s="35">
        <v>13.738985757232271</v>
      </c>
      <c r="T9" s="35">
        <v>0.8260388381469596</v>
      </c>
      <c r="U9" s="35">
        <v>1.143573292735972</v>
      </c>
      <c r="V9" s="119">
        <v>292.08750000000003</v>
      </c>
      <c r="W9" s="35">
        <v>27.839415639502967</v>
      </c>
      <c r="X9" s="35">
        <v>18.074684447290878</v>
      </c>
      <c r="Y9" s="35">
        <v>2.3850394054504815</v>
      </c>
      <c r="Z9" s="35">
        <v>21.872587077333343</v>
      </c>
      <c r="AA9" s="35">
        <v>28.753529580124148</v>
      </c>
      <c r="AB9" s="39">
        <v>841.5125158554551</v>
      </c>
      <c r="AC9" s="35">
        <v>52.82116366138241</v>
      </c>
      <c r="AD9" s="35">
        <v>1.4230825140078238</v>
      </c>
      <c r="AE9" s="35">
        <v>0.7673645358555725</v>
      </c>
      <c r="AF9" s="35">
        <v>0.22390840395443168</v>
      </c>
      <c r="AG9" s="35">
        <v>15.208491241057063</v>
      </c>
      <c r="AH9" s="35">
        <v>1.230261614316895</v>
      </c>
      <c r="AI9" s="35">
        <v>0.34955440573570135</v>
      </c>
      <c r="AJ9" s="120">
        <v>1474.2648980342283</v>
      </c>
      <c r="AK9" s="120">
        <v>465.4712572859724</v>
      </c>
      <c r="AL9" s="120">
        <v>487.59693841368386</v>
      </c>
      <c r="AM9" s="120">
        <v>1037.3253500586782</v>
      </c>
      <c r="AN9" s="120">
        <v>244.60828498965273</v>
      </c>
      <c r="AO9" s="120">
        <v>133.53123140969305</v>
      </c>
      <c r="AP9" s="121">
        <v>31.829627000000002</v>
      </c>
      <c r="AQ9" s="119">
        <v>11.7095</v>
      </c>
      <c r="AR9" s="119">
        <v>42.96</v>
      </c>
      <c r="AS9" s="119">
        <v>107.4426335</v>
      </c>
      <c r="AT9" s="119">
        <v>0.2525</v>
      </c>
      <c r="AU9" s="119">
        <v>44.862</v>
      </c>
      <c r="AV9" s="119">
        <v>9.7595</v>
      </c>
      <c r="AW9" s="119">
        <v>17966.9</v>
      </c>
      <c r="AX9" s="119">
        <v>8.014281</v>
      </c>
      <c r="AY9" s="119">
        <v>3.535513</v>
      </c>
      <c r="AZ9" s="119">
        <v>222.799</v>
      </c>
      <c r="BA9" s="20">
        <v>0.659</v>
      </c>
      <c r="BB9" s="119">
        <v>0.678261</v>
      </c>
      <c r="BC9" s="119">
        <v>20.3105</v>
      </c>
      <c r="BD9" s="119">
        <v>0.6494364999999999</v>
      </c>
      <c r="BE9" s="119">
        <v>15.0155</v>
      </c>
      <c r="BF9" s="119">
        <v>0.490981</v>
      </c>
      <c r="BG9" s="119" t="s">
        <v>274</v>
      </c>
      <c r="BH9" s="119">
        <v>51.023999999999994</v>
      </c>
      <c r="BI9" s="35"/>
      <c r="BJ9" s="35"/>
    </row>
    <row r="10">
      <c r="A10" s="21" t="s">
        <v>31</v>
      </c>
      <c r="B10" s="20" t="s">
        <v>32</v>
      </c>
      <c r="C10" s="21" t="s">
        <v>270</v>
      </c>
      <c r="D10" s="21" t="s">
        <v>271</v>
      </c>
      <c r="E10" s="35">
        <v>8.137</v>
      </c>
      <c r="F10" s="20">
        <v>78.67</v>
      </c>
      <c r="G10" s="119">
        <v>0.3019596168021365</v>
      </c>
      <c r="H10" s="35">
        <v>7.596954314720811</v>
      </c>
      <c r="I10" s="35">
        <v>0.4568527918781725</v>
      </c>
      <c r="J10" s="35">
        <v>8.550153307052126</v>
      </c>
      <c r="K10" s="35">
        <v>6.718597624018623</v>
      </c>
      <c r="L10" s="35">
        <v>26.699218011744275</v>
      </c>
      <c r="M10" s="35">
        <v>8.609137055837563</v>
      </c>
      <c r="N10" s="35">
        <v>3.76</v>
      </c>
      <c r="O10" s="35">
        <v>25.42</v>
      </c>
      <c r="P10" s="20">
        <v>30.08</v>
      </c>
      <c r="Q10" s="35">
        <v>40.74</v>
      </c>
      <c r="R10" s="20" t="s">
        <v>272</v>
      </c>
      <c r="S10" s="35">
        <v>53.92889984091204</v>
      </c>
      <c r="T10" s="35">
        <v>1.5156792561507446</v>
      </c>
      <c r="U10" s="35">
        <v>0.31583079599826014</v>
      </c>
      <c r="V10" s="119">
        <v>775.9345</v>
      </c>
      <c r="W10" s="35">
        <v>29.166398023853482</v>
      </c>
      <c r="X10" s="35">
        <v>71.65175334570905</v>
      </c>
      <c r="Y10" s="35">
        <v>5.590577426177905</v>
      </c>
      <c r="Z10" s="35">
        <v>27.718912570993485</v>
      </c>
      <c r="AA10" s="35">
        <v>33.0895716836174</v>
      </c>
      <c r="AB10" s="39">
        <v>1471.1377825803356</v>
      </c>
      <c r="AC10" s="35">
        <v>131.32332577997448</v>
      </c>
      <c r="AD10" s="35">
        <v>1.8784514780447168</v>
      </c>
      <c r="AE10" s="35">
        <v>0.7749703733871496</v>
      </c>
      <c r="AF10" s="35">
        <v>0.2167237923941248</v>
      </c>
      <c r="AG10" s="35">
        <v>33.791976836472976</v>
      </c>
      <c r="AH10" s="35">
        <v>8.200132340713916</v>
      </c>
      <c r="AI10" s="35">
        <v>0.667324834793144</v>
      </c>
      <c r="AJ10" s="120">
        <v>1758.9781675415159</v>
      </c>
      <c r="AK10" s="120">
        <v>1000.824474826137</v>
      </c>
      <c r="AL10" s="120">
        <v>1800.2249869148075</v>
      </c>
      <c r="AM10" s="120">
        <v>1865.0039858043535</v>
      </c>
      <c r="AN10" s="120">
        <v>637.5824518390857</v>
      </c>
      <c r="AO10" s="120">
        <v>335.5254079194606</v>
      </c>
      <c r="AP10" s="121">
        <v>29.606999000000002</v>
      </c>
      <c r="AQ10" s="119">
        <v>11.267</v>
      </c>
      <c r="AR10" s="119">
        <v>43.195</v>
      </c>
      <c r="AS10" s="119">
        <v>104.56108950000001</v>
      </c>
      <c r="AT10" s="119">
        <v>0.299</v>
      </c>
      <c r="AU10" s="119">
        <v>38.6365</v>
      </c>
      <c r="AV10" s="119">
        <v>7.315499999999999</v>
      </c>
      <c r="AW10" s="119">
        <v>16920.32</v>
      </c>
      <c r="AX10" s="119">
        <v>8.2447885</v>
      </c>
      <c r="AY10" s="119">
        <v>3.5546415</v>
      </c>
      <c r="AZ10" s="119">
        <v>208.60700000000003</v>
      </c>
      <c r="BA10" s="20" t="s">
        <v>273</v>
      </c>
      <c r="BB10" s="119">
        <v>0.48820450000000004</v>
      </c>
      <c r="BC10" s="119">
        <v>17.442500000000003</v>
      </c>
      <c r="BD10" s="119">
        <v>1.279629</v>
      </c>
      <c r="BE10" s="119">
        <v>17.239</v>
      </c>
      <c r="BF10" s="119">
        <v>0.809442</v>
      </c>
      <c r="BG10" s="119" t="s">
        <v>274</v>
      </c>
      <c r="BH10" s="119">
        <v>68.7465</v>
      </c>
      <c r="BI10" s="35"/>
      <c r="BJ10" s="35"/>
    </row>
    <row r="11">
      <c r="A11" s="21" t="s">
        <v>33</v>
      </c>
      <c r="B11" s="20" t="s">
        <v>34</v>
      </c>
      <c r="C11" s="21" t="s">
        <v>270</v>
      </c>
      <c r="D11" s="21" t="s">
        <v>271</v>
      </c>
      <c r="E11" s="35">
        <v>8.46</v>
      </c>
      <c r="F11" s="20">
        <v>83.47</v>
      </c>
      <c r="G11" s="119">
        <v>0.25350347656390165</v>
      </c>
      <c r="H11" s="35">
        <v>5.383756345177664</v>
      </c>
      <c r="I11" s="35">
        <v>0.16649746192893403</v>
      </c>
      <c r="J11" s="35">
        <v>8.204865228678566</v>
      </c>
      <c r="K11" s="35">
        <v>2.349673485995584</v>
      </c>
      <c r="L11" s="35">
        <v>29.61638773454645</v>
      </c>
      <c r="M11" s="35">
        <v>10.771573604060913</v>
      </c>
      <c r="N11" s="35">
        <v>1.38</v>
      </c>
      <c r="O11" s="35">
        <v>21.53</v>
      </c>
      <c r="P11" s="20">
        <v>36.92</v>
      </c>
      <c r="Q11" s="35">
        <v>40.17</v>
      </c>
      <c r="R11" s="20" t="s">
        <v>272</v>
      </c>
      <c r="S11" s="35">
        <v>10.425167683684569</v>
      </c>
      <c r="T11" s="35">
        <v>0.7968032584547025</v>
      </c>
      <c r="U11" s="35">
        <v>0.7497455415398</v>
      </c>
      <c r="V11" s="119">
        <v>304.7985</v>
      </c>
      <c r="W11" s="35">
        <v>27.678125155945903</v>
      </c>
      <c r="X11" s="35">
        <v>31.9843921910051</v>
      </c>
      <c r="Y11" s="35">
        <v>2.380942917096397</v>
      </c>
      <c r="Z11" s="35">
        <v>21.08507309576456</v>
      </c>
      <c r="AA11" s="35">
        <v>28.06580905187245</v>
      </c>
      <c r="AB11" s="39">
        <v>360.6026244240389</v>
      </c>
      <c r="AC11" s="35">
        <v>19.802968275666867</v>
      </c>
      <c r="AD11" s="35">
        <v>0.8893747587290185</v>
      </c>
      <c r="AE11" s="35">
        <v>0.9098412579895178</v>
      </c>
      <c r="AF11" s="35">
        <v>0.06767870929535381</v>
      </c>
      <c r="AG11" s="35">
        <v>13.113478107713918</v>
      </c>
      <c r="AH11" s="35">
        <v>0.42774616091037904</v>
      </c>
      <c r="AI11" s="35">
        <v>0.3899360929175993</v>
      </c>
      <c r="AJ11" s="120">
        <v>994.2653341860598</v>
      </c>
      <c r="AK11" s="120">
        <v>391.8717059315239</v>
      </c>
      <c r="AL11" s="120">
        <v>414.5960370631404</v>
      </c>
      <c r="AM11" s="120">
        <v>826.4057544298199</v>
      </c>
      <c r="AN11" s="120">
        <v>228.97695849023435</v>
      </c>
      <c r="AO11" s="120">
        <v>84.84144251196872</v>
      </c>
      <c r="AP11" s="121">
        <v>28.950217000000002</v>
      </c>
      <c r="AQ11" s="119">
        <v>10.837</v>
      </c>
      <c r="AR11" s="119">
        <v>41.385</v>
      </c>
      <c r="AS11" s="119">
        <v>109.01512950000001</v>
      </c>
      <c r="AT11" s="119">
        <v>0.265</v>
      </c>
      <c r="AU11" s="119">
        <v>41.296</v>
      </c>
      <c r="AV11" s="119">
        <v>5.998499999999999</v>
      </c>
      <c r="AW11" s="119">
        <v>16662.611</v>
      </c>
      <c r="AX11" s="119">
        <v>7.0969715</v>
      </c>
      <c r="AY11" s="119">
        <v>3.3620975</v>
      </c>
      <c r="AZ11" s="119">
        <v>192.63850000000002</v>
      </c>
      <c r="BA11" s="20">
        <v>0.5924999999999999</v>
      </c>
      <c r="BB11" s="119">
        <v>0.5217204999999999</v>
      </c>
      <c r="BC11" s="119">
        <v>19.0275</v>
      </c>
      <c r="BD11" s="119">
        <v>0.545471</v>
      </c>
      <c r="BE11" s="119">
        <v>48.9245</v>
      </c>
      <c r="BF11" s="119">
        <v>0.429196</v>
      </c>
      <c r="BG11" s="119" t="s">
        <v>274</v>
      </c>
      <c r="BH11" s="119">
        <v>40.482</v>
      </c>
      <c r="BI11" s="35"/>
      <c r="BJ11" s="35"/>
    </row>
    <row r="12">
      <c r="A12" s="21" t="s">
        <v>35</v>
      </c>
      <c r="B12" s="20" t="s">
        <v>36</v>
      </c>
      <c r="C12" s="21" t="s">
        <v>270</v>
      </c>
      <c r="D12" s="21" t="s">
        <v>271</v>
      </c>
      <c r="E12" s="35">
        <v>8.127</v>
      </c>
      <c r="F12" s="20">
        <v>74.88</v>
      </c>
      <c r="G12" s="119">
        <v>0.283024950850554</v>
      </c>
      <c r="H12" s="35">
        <v>6.5959390862944165</v>
      </c>
      <c r="I12" s="35">
        <v>0.4934010152284264</v>
      </c>
      <c r="J12" s="35">
        <v>8.327790485769754</v>
      </c>
      <c r="K12" s="35">
        <v>7.067377282096094</v>
      </c>
      <c r="L12" s="35">
        <v>17.760938830597375</v>
      </c>
      <c r="M12" s="35">
        <v>6.304568527918781</v>
      </c>
      <c r="N12" s="35">
        <v>3.18</v>
      </c>
      <c r="O12" s="35">
        <v>29.35</v>
      </c>
      <c r="P12" s="20">
        <v>31.67</v>
      </c>
      <c r="Q12" s="35">
        <v>35.8</v>
      </c>
      <c r="R12" s="20" t="s">
        <v>272</v>
      </c>
      <c r="S12" s="35">
        <v>50.31008607371443</v>
      </c>
      <c r="T12" s="35">
        <v>1.4497366905290876</v>
      </c>
      <c r="U12" s="35">
        <v>0.38353849499782516</v>
      </c>
      <c r="V12" s="119">
        <v>637.9575</v>
      </c>
      <c r="W12" s="35">
        <v>31.58097459953091</v>
      </c>
      <c r="X12" s="35">
        <v>71.99816187964477</v>
      </c>
      <c r="Y12" s="35">
        <v>5.918850807613415</v>
      </c>
      <c r="Z12" s="35">
        <v>29.6199579586565</v>
      </c>
      <c r="AA12" s="35">
        <v>34.066807762511026</v>
      </c>
      <c r="AB12" s="39">
        <v>2731.388360206014</v>
      </c>
      <c r="AC12" s="35">
        <v>187.95411988211808</v>
      </c>
      <c r="AD12" s="35">
        <v>2.4242491690408374</v>
      </c>
      <c r="AE12" s="35">
        <v>0.7263530720161758</v>
      </c>
      <c r="AF12" s="35">
        <v>0.26866553880164296</v>
      </c>
      <c r="AG12" s="35">
        <v>35.973586568896444</v>
      </c>
      <c r="AH12" s="35">
        <v>6.345579007320322</v>
      </c>
      <c r="AI12" s="35">
        <v>0.4230993771269832</v>
      </c>
      <c r="AJ12" s="120">
        <v>2713.446609563533</v>
      </c>
      <c r="AK12" s="120">
        <v>1499.4563279429449</v>
      </c>
      <c r="AL12" s="120">
        <v>2376.6786289651022</v>
      </c>
      <c r="AM12" s="120">
        <v>2801.950355807546</v>
      </c>
      <c r="AN12" s="120">
        <v>792.0865605544107</v>
      </c>
      <c r="AO12" s="120">
        <v>641.4663755313741</v>
      </c>
      <c r="AP12" s="121">
        <v>28.870701</v>
      </c>
      <c r="AQ12" s="119">
        <v>12.600999999999999</v>
      </c>
      <c r="AR12" s="119">
        <v>36.865</v>
      </c>
      <c r="AS12" s="119">
        <v>66.0303815</v>
      </c>
      <c r="AT12" s="119">
        <v>0.295</v>
      </c>
      <c r="AU12" s="119">
        <v>39.189</v>
      </c>
      <c r="AV12" s="119">
        <v>9.4375</v>
      </c>
      <c r="AW12" s="119">
        <v>17240.66</v>
      </c>
      <c r="AX12" s="119">
        <v>7.302640500000001</v>
      </c>
      <c r="AY12" s="119">
        <v>3.1809705</v>
      </c>
      <c r="AZ12" s="119">
        <v>211.3415</v>
      </c>
      <c r="BA12" s="20" t="s">
        <v>273</v>
      </c>
      <c r="BB12" s="119">
        <v>0.4016755</v>
      </c>
      <c r="BC12" s="119">
        <v>17.5215</v>
      </c>
      <c r="BD12" s="119">
        <v>1.180658</v>
      </c>
      <c r="BE12" s="119">
        <v>19.7495</v>
      </c>
      <c r="BF12" s="119">
        <v>0.7645919999999999</v>
      </c>
      <c r="BG12" s="119" t="s">
        <v>274</v>
      </c>
      <c r="BH12" s="119">
        <v>65.38300000000001</v>
      </c>
      <c r="BI12" s="35"/>
      <c r="BJ12" s="35"/>
    </row>
    <row r="13">
      <c r="A13" s="21" t="s">
        <v>37</v>
      </c>
      <c r="B13" s="20" t="s">
        <v>38</v>
      </c>
      <c r="C13" s="21" t="s">
        <v>270</v>
      </c>
      <c r="D13" s="21" t="s">
        <v>271</v>
      </c>
      <c r="E13" s="35">
        <v>8.434</v>
      </c>
      <c r="F13" s="20">
        <v>82.06</v>
      </c>
      <c r="G13" s="119">
        <v>0.19941789550508301</v>
      </c>
      <c r="H13" s="35">
        <v>4.262944162436548</v>
      </c>
      <c r="I13" s="35">
        <v>0.1888324873096447</v>
      </c>
      <c r="J13" s="35">
        <v>9.042996623005948</v>
      </c>
      <c r="K13" s="35">
        <v>2.93709185749448</v>
      </c>
      <c r="L13" s="35">
        <v>19.03275367925808</v>
      </c>
      <c r="M13" s="35">
        <v>6.873096446700508</v>
      </c>
      <c r="N13" s="35">
        <v>2.2</v>
      </c>
      <c r="O13" s="35">
        <v>24.26</v>
      </c>
      <c r="P13" s="20">
        <v>39.51</v>
      </c>
      <c r="Q13" s="35">
        <v>34.03</v>
      </c>
      <c r="R13" s="20" t="s">
        <v>272</v>
      </c>
      <c r="S13" s="35">
        <v>14.251544887543398</v>
      </c>
      <c r="T13" s="35">
        <v>0.8737143092240598</v>
      </c>
      <c r="U13" s="35">
        <v>0.2936298390604611</v>
      </c>
      <c r="V13" s="119">
        <v>234.11450000000002</v>
      </c>
      <c r="W13" s="35">
        <v>30.413680822396323</v>
      </c>
      <c r="X13" s="35">
        <v>30.93186650279858</v>
      </c>
      <c r="Y13" s="35">
        <v>1.4029747480926094</v>
      </c>
      <c r="Z13" s="35">
        <v>24.058696174550406</v>
      </c>
      <c r="AA13" s="35">
        <v>30.727244061954657</v>
      </c>
      <c r="AB13" s="39">
        <v>1013.6705868211617</v>
      </c>
      <c r="AC13" s="35">
        <v>62.21055737920825</v>
      </c>
      <c r="AD13" s="35">
        <v>1.0417512930917763</v>
      </c>
      <c r="AE13" s="35">
        <v>0.9279440605181841</v>
      </c>
      <c r="AF13" s="35">
        <v>0.056826890915165865</v>
      </c>
      <c r="AG13" s="35">
        <v>15.758046379346814</v>
      </c>
      <c r="AH13" s="35">
        <v>0.5366343540855187</v>
      </c>
      <c r="AI13" s="35">
        <v>0.2699224367584323</v>
      </c>
      <c r="AJ13" s="120">
        <v>2132.347707397362</v>
      </c>
      <c r="AK13" s="120">
        <v>652.6801473635503</v>
      </c>
      <c r="AL13" s="120">
        <v>753.0442378689822</v>
      </c>
      <c r="AM13" s="120">
        <v>1366.7551801879783</v>
      </c>
      <c r="AN13" s="120">
        <v>361.900065773841</v>
      </c>
      <c r="AO13" s="120">
        <v>184.3311819836217</v>
      </c>
      <c r="AP13" s="121">
        <v>32.133456</v>
      </c>
      <c r="AQ13" s="119">
        <v>15.762</v>
      </c>
      <c r="AR13" s="119">
        <v>39.675</v>
      </c>
      <c r="AS13" s="119">
        <v>78.2111105</v>
      </c>
      <c r="AT13" s="119">
        <v>0.309</v>
      </c>
      <c r="AU13" s="119">
        <v>48.187</v>
      </c>
      <c r="AV13" s="119">
        <v>7.4395</v>
      </c>
      <c r="AW13" s="119">
        <v>20347.741</v>
      </c>
      <c r="AX13" s="119">
        <v>6.953815500000001</v>
      </c>
      <c r="AY13" s="119">
        <v>3.5115925</v>
      </c>
      <c r="AZ13" s="119">
        <v>246.2495</v>
      </c>
      <c r="BA13" s="20">
        <v>0.6815</v>
      </c>
      <c r="BB13" s="119">
        <v>0.3945885</v>
      </c>
      <c r="BC13" s="119">
        <v>23.0595</v>
      </c>
      <c r="BD13" s="119">
        <v>0.620724</v>
      </c>
      <c r="BE13" s="119">
        <v>20.4165</v>
      </c>
      <c r="BF13" s="119">
        <v>0.40575100000000003</v>
      </c>
      <c r="BG13" s="119" t="s">
        <v>274</v>
      </c>
      <c r="BH13" s="119">
        <v>52.6</v>
      </c>
      <c r="BI13" s="35"/>
      <c r="BJ13" s="35"/>
    </row>
    <row r="14">
      <c r="A14" s="21" t="s">
        <v>39</v>
      </c>
      <c r="B14" s="20" t="s">
        <v>40</v>
      </c>
      <c r="C14" s="21" t="s">
        <v>270</v>
      </c>
      <c r="D14" s="21" t="s">
        <v>271</v>
      </c>
      <c r="E14" s="35">
        <v>8.065</v>
      </c>
      <c r="F14" s="20">
        <v>75.72</v>
      </c>
      <c r="G14" s="119">
        <v>0.2784928430232448</v>
      </c>
      <c r="H14" s="35">
        <v>6.872081218274111</v>
      </c>
      <c r="I14" s="35">
        <v>0.4903553299492385</v>
      </c>
      <c r="J14" s="35">
        <v>8.575400679611388</v>
      </c>
      <c r="K14" s="35">
        <v>7.232588699080158</v>
      </c>
      <c r="L14" s="35">
        <v>18.490231261297918</v>
      </c>
      <c r="M14" s="35">
        <v>6.091370558375634</v>
      </c>
      <c r="N14" s="35">
        <v>1.45</v>
      </c>
      <c r="O14" s="35">
        <v>31.08</v>
      </c>
      <c r="P14" s="20">
        <v>30.03</v>
      </c>
      <c r="Q14" s="35">
        <v>37.44</v>
      </c>
      <c r="R14" s="20" t="s">
        <v>272</v>
      </c>
      <c r="S14" s="35">
        <v>51.183687299415666</v>
      </c>
      <c r="T14" s="35">
        <v>1.4339134370114377</v>
      </c>
      <c r="U14" s="35">
        <v>0.2503892996955198</v>
      </c>
      <c r="V14" s="119">
        <v>707.7695</v>
      </c>
      <c r="W14" s="35">
        <v>30.144889964569085</v>
      </c>
      <c r="X14" s="35">
        <v>92.66186739167739</v>
      </c>
      <c r="Y14" s="35">
        <v>9.334702267715844</v>
      </c>
      <c r="Z14" s="35">
        <v>28.76148382670633</v>
      </c>
      <c r="AA14" s="35">
        <v>34.71550419082079</v>
      </c>
      <c r="AB14" s="39">
        <v>2531.244265944269</v>
      </c>
      <c r="AC14" s="35">
        <v>202.44652033609398</v>
      </c>
      <c r="AD14" s="35">
        <v>1.9048614779597366</v>
      </c>
      <c r="AE14" s="35">
        <v>0.7325691326427975</v>
      </c>
      <c r="AF14" s="35">
        <v>0.26021751019933465</v>
      </c>
      <c r="AG14" s="35">
        <v>36.09247924730239</v>
      </c>
      <c r="AH14" s="35">
        <v>6.760375156903402</v>
      </c>
      <c r="AI14" s="35">
        <v>0.4351449196716117</v>
      </c>
      <c r="AJ14" s="120">
        <v>2652.632528504408</v>
      </c>
      <c r="AK14" s="120">
        <v>1566.3024219205597</v>
      </c>
      <c r="AL14" s="120">
        <v>2325.292744931464</v>
      </c>
      <c r="AM14" s="120">
        <v>2685.3898004476273</v>
      </c>
      <c r="AN14" s="120">
        <v>990.7468513588642</v>
      </c>
      <c r="AO14" s="120">
        <v>546.355368828615</v>
      </c>
      <c r="AP14" s="121">
        <v>27.885104000000002</v>
      </c>
      <c r="AQ14" s="119">
        <v>11.782</v>
      </c>
      <c r="AR14" s="119">
        <v>37.435</v>
      </c>
      <c r="AS14" s="119">
        <v>70.0454905</v>
      </c>
      <c r="AT14" s="119">
        <v>0.296</v>
      </c>
      <c r="AU14" s="119">
        <v>38.20399999999999</v>
      </c>
      <c r="AV14" s="119">
        <v>8.1235</v>
      </c>
      <c r="AW14" s="119">
        <v>17127.484</v>
      </c>
      <c r="AX14" s="119">
        <v>7.138329500000001</v>
      </c>
      <c r="AY14" s="119">
        <v>3.1693425</v>
      </c>
      <c r="AZ14" s="119">
        <v>219.46550000000002</v>
      </c>
      <c r="BA14" s="20" t="s">
        <v>273</v>
      </c>
      <c r="BB14" s="119">
        <v>0.37883550000000005</v>
      </c>
      <c r="BC14" s="119">
        <v>17.203500000000002</v>
      </c>
      <c r="BD14" s="119">
        <v>1.1933529999999999</v>
      </c>
      <c r="BE14" s="119">
        <v>17.735500000000002</v>
      </c>
      <c r="BF14" s="119">
        <v>0.764618</v>
      </c>
      <c r="BG14" s="119" t="s">
        <v>274</v>
      </c>
      <c r="BH14" s="119">
        <v>60.853</v>
      </c>
      <c r="BI14" s="35"/>
      <c r="BJ14" s="35"/>
    </row>
    <row r="15">
      <c r="A15" s="21" t="s">
        <v>41</v>
      </c>
      <c r="B15" s="20" t="s">
        <v>42</v>
      </c>
      <c r="C15" s="21" t="s">
        <v>270</v>
      </c>
      <c r="D15" s="21" t="s">
        <v>271</v>
      </c>
      <c r="E15" s="35">
        <v>8.368</v>
      </c>
      <c r="F15" s="20">
        <v>79.74</v>
      </c>
      <c r="G15" s="119">
        <v>0.1804588446044307</v>
      </c>
      <c r="H15" s="35">
        <v>4.815228426395939</v>
      </c>
      <c r="I15" s="35">
        <v>0.25380710659898476</v>
      </c>
      <c r="J15" s="35">
        <v>7.947437582128778</v>
      </c>
      <c r="K15" s="35">
        <v>3.4694397566653548</v>
      </c>
      <c r="L15" s="35">
        <v>20.758152844574</v>
      </c>
      <c r="M15" s="35">
        <v>6.182741116751269</v>
      </c>
      <c r="N15" s="35">
        <v>3.99</v>
      </c>
      <c r="O15" s="35">
        <v>29.05</v>
      </c>
      <c r="P15" s="20">
        <v>32.41</v>
      </c>
      <c r="Q15" s="35">
        <v>34.55</v>
      </c>
      <c r="R15" s="20" t="s">
        <v>272</v>
      </c>
      <c r="S15" s="35">
        <v>20.560099304865943</v>
      </c>
      <c r="T15" s="35">
        <v>0.926269233934008</v>
      </c>
      <c r="U15" s="35">
        <v>0.23301652892561986</v>
      </c>
      <c r="V15" s="119">
        <v>345.5425</v>
      </c>
      <c r="W15" s="35">
        <v>29.010796446928488</v>
      </c>
      <c r="X15" s="35">
        <v>28.316308948557353</v>
      </c>
      <c r="Y15" s="35">
        <v>2.824807287434925</v>
      </c>
      <c r="Z15" s="35">
        <v>24.00979424948629</v>
      </c>
      <c r="AA15" s="35">
        <v>30.370881474867172</v>
      </c>
      <c r="AB15" s="39">
        <v>1527.5512827233542</v>
      </c>
      <c r="AC15" s="35">
        <v>104.49399921188744</v>
      </c>
      <c r="AD15" s="35">
        <v>1.085123874815374</v>
      </c>
      <c r="AE15" s="35">
        <v>0.7033052520043538</v>
      </c>
      <c r="AF15" s="35">
        <v>0.2885055464650089</v>
      </c>
      <c r="AG15" s="35">
        <v>18.527237250376334</v>
      </c>
      <c r="AH15" s="35">
        <v>1.7379054885426384</v>
      </c>
      <c r="AI15" s="35">
        <v>0.2776450950535573</v>
      </c>
      <c r="AJ15" s="120">
        <v>2133.2502469367073</v>
      </c>
      <c r="AK15" s="120">
        <v>780.7685991588713</v>
      </c>
      <c r="AL15" s="120">
        <v>1017.6112648244307</v>
      </c>
      <c r="AM15" s="120">
        <v>1531.3562808485956</v>
      </c>
      <c r="AN15" s="120">
        <v>382.95794504362345</v>
      </c>
      <c r="AO15" s="120">
        <v>229.10532358961404</v>
      </c>
      <c r="AP15" s="121">
        <v>30.128389000000002</v>
      </c>
      <c r="AQ15" s="119">
        <v>12.67</v>
      </c>
      <c r="AR15" s="119">
        <v>37.285000000000004</v>
      </c>
      <c r="AS15" s="119">
        <v>76.0915485</v>
      </c>
      <c r="AT15" s="119">
        <v>0.3</v>
      </c>
      <c r="AU15" s="119">
        <v>45.638</v>
      </c>
      <c r="AV15" s="119">
        <v>6.8045</v>
      </c>
      <c r="AW15" s="119">
        <v>18391.15</v>
      </c>
      <c r="AX15" s="119">
        <v>7.0500235</v>
      </c>
      <c r="AY15" s="119">
        <v>3.2175214999999997</v>
      </c>
      <c r="AZ15" s="119">
        <v>232.29250000000002</v>
      </c>
      <c r="BA15" s="20">
        <v>0.8554999999999999</v>
      </c>
      <c r="BB15" s="119">
        <v>0.4569935</v>
      </c>
      <c r="BC15" s="119">
        <v>21.2335</v>
      </c>
      <c r="BD15" s="119">
        <v>0.72399</v>
      </c>
      <c r="BE15" s="119">
        <v>17.1915</v>
      </c>
      <c r="BF15" s="119">
        <v>0.486204</v>
      </c>
      <c r="BG15" s="119" t="s">
        <v>274</v>
      </c>
      <c r="BH15" s="119">
        <v>48.69</v>
      </c>
      <c r="BI15" s="35"/>
      <c r="BJ15" s="35"/>
    </row>
    <row r="16">
      <c r="B16" s="20"/>
    </row>
    <row r="17">
      <c r="A17" s="20"/>
      <c r="B17" s="20"/>
      <c r="C17" s="20"/>
      <c r="D17" s="20"/>
      <c r="E17" s="35"/>
      <c r="F17" s="20"/>
      <c r="G17" s="119"/>
      <c r="H17" s="35"/>
      <c r="I17" s="20"/>
      <c r="J17" s="35"/>
      <c r="K17" s="35"/>
      <c r="L17" s="35"/>
      <c r="M17" s="20"/>
      <c r="N17" s="20"/>
      <c r="O17" s="20"/>
      <c r="P17" s="35"/>
      <c r="Q17" s="35"/>
      <c r="R17" s="20"/>
      <c r="S17" s="35"/>
      <c r="T17" s="35"/>
      <c r="U17" s="35"/>
      <c r="V17" s="119"/>
      <c r="W17" s="35"/>
      <c r="X17" s="35"/>
      <c r="Y17" s="35"/>
      <c r="Z17" s="35"/>
      <c r="AA17" s="35"/>
      <c r="AB17" s="20"/>
      <c r="AC17" s="35"/>
      <c r="AD17" s="35"/>
      <c r="AE17" s="35"/>
      <c r="AF17" s="35"/>
      <c r="AG17" s="35"/>
      <c r="AH17" s="35"/>
      <c r="AI17" s="20"/>
      <c r="AJ17" s="20"/>
      <c r="AK17" s="20"/>
      <c r="AL17" s="20"/>
      <c r="AM17" s="20"/>
      <c r="AN17" s="20"/>
      <c r="AO17" s="20"/>
      <c r="AP17" s="20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20"/>
      <c r="BG17" s="20"/>
      <c r="BH17" s="20"/>
    </row>
    <row r="18">
      <c r="A18" s="20"/>
      <c r="B18" s="20"/>
      <c r="C18" s="20"/>
      <c r="D18" s="20"/>
      <c r="E18" s="35"/>
      <c r="F18" s="20"/>
      <c r="G18" s="119"/>
      <c r="H18" s="35"/>
      <c r="I18" s="20"/>
      <c r="J18" s="35"/>
      <c r="K18" s="35"/>
      <c r="L18" s="35"/>
      <c r="M18" s="20"/>
      <c r="N18" s="20"/>
      <c r="O18" s="20"/>
      <c r="P18" s="35"/>
      <c r="Q18" s="35"/>
      <c r="R18" s="20"/>
      <c r="S18" s="35"/>
      <c r="T18" s="35"/>
      <c r="U18" s="35"/>
      <c r="V18" s="119"/>
      <c r="W18" s="35"/>
      <c r="X18" s="35"/>
      <c r="Y18" s="35"/>
      <c r="Z18" s="35"/>
      <c r="AA18" s="35"/>
      <c r="AB18" s="20"/>
      <c r="AC18" s="35"/>
      <c r="AD18" s="35"/>
      <c r="AE18" s="35"/>
      <c r="AF18" s="35"/>
      <c r="AG18" s="35"/>
      <c r="AH18" s="35"/>
      <c r="AI18" s="20"/>
      <c r="AJ18" s="20"/>
      <c r="AK18" s="20"/>
      <c r="AL18" s="20"/>
      <c r="AM18" s="20"/>
      <c r="AN18" s="20"/>
      <c r="AO18" s="20"/>
      <c r="AP18" s="20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20"/>
      <c r="BG18" s="20"/>
      <c r="BH18" s="20"/>
    </row>
    <row r="19">
      <c r="A19" s="20"/>
      <c r="B19" s="20"/>
      <c r="C19" s="20"/>
      <c r="D19" s="20"/>
      <c r="E19" s="35"/>
      <c r="F19" s="20"/>
      <c r="G19" s="119"/>
      <c r="H19" s="35"/>
      <c r="I19" s="20"/>
      <c r="J19" s="35"/>
      <c r="K19" s="35"/>
      <c r="L19" s="35"/>
      <c r="M19" s="20"/>
      <c r="N19" s="20"/>
      <c r="O19" s="20"/>
      <c r="P19" s="35"/>
      <c r="Q19" s="35"/>
      <c r="R19" s="20"/>
      <c r="S19" s="35"/>
      <c r="T19" s="35"/>
      <c r="U19" s="35"/>
      <c r="V19" s="119"/>
      <c r="W19" s="35"/>
      <c r="X19" s="35"/>
      <c r="Y19" s="35"/>
      <c r="Z19" s="35"/>
      <c r="AA19" s="35"/>
      <c r="AB19" s="20"/>
      <c r="AC19" s="35"/>
      <c r="AD19" s="35"/>
      <c r="AE19" s="35"/>
      <c r="AF19" s="35"/>
      <c r="AG19" s="35"/>
      <c r="AH19" s="35"/>
      <c r="AI19" s="20"/>
      <c r="AJ19" s="20"/>
      <c r="AK19" s="20"/>
      <c r="AL19" s="20"/>
      <c r="AM19" s="20"/>
      <c r="AN19" s="20"/>
      <c r="AO19" s="20"/>
      <c r="AP19" s="20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20"/>
      <c r="BG19" s="20"/>
      <c r="BH19" s="20"/>
    </row>
    <row r="20">
      <c r="A20" s="20"/>
      <c r="B20" s="20"/>
      <c r="C20" s="20"/>
      <c r="D20" s="20"/>
      <c r="E20" s="35"/>
      <c r="F20" s="20"/>
      <c r="G20" s="119"/>
      <c r="H20" s="35"/>
      <c r="I20" s="20"/>
      <c r="J20" s="35"/>
      <c r="K20" s="35"/>
      <c r="L20" s="35"/>
      <c r="M20" s="20"/>
      <c r="N20" s="20"/>
      <c r="O20" s="20"/>
      <c r="P20" s="35"/>
      <c r="Q20" s="35"/>
      <c r="R20" s="20"/>
      <c r="S20" s="35"/>
      <c r="T20" s="35"/>
      <c r="U20" s="35"/>
      <c r="V20" s="119"/>
      <c r="W20" s="35"/>
      <c r="X20" s="35"/>
      <c r="Y20" s="35"/>
      <c r="Z20" s="35"/>
      <c r="AA20" s="35"/>
      <c r="AB20" s="20"/>
      <c r="AC20" s="35"/>
      <c r="AD20" s="35"/>
      <c r="AE20" s="35"/>
      <c r="AF20" s="35"/>
      <c r="AG20" s="35"/>
      <c r="AH20" s="35"/>
      <c r="AI20" s="20"/>
      <c r="AJ20" s="20"/>
      <c r="AK20" s="20"/>
      <c r="AL20" s="20"/>
      <c r="AM20" s="20"/>
      <c r="AN20" s="20"/>
      <c r="AO20" s="20"/>
      <c r="AP20" s="20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20"/>
      <c r="BG20" s="20"/>
      <c r="BH20" s="20"/>
    </row>
    <row r="21" ht="15.75" customHeight="1">
      <c r="A21" s="20"/>
      <c r="B21" s="20"/>
      <c r="C21" s="20"/>
      <c r="D21" s="20"/>
      <c r="E21" s="35"/>
      <c r="F21" s="20"/>
      <c r="G21" s="119"/>
      <c r="H21" s="35"/>
      <c r="I21" s="20"/>
      <c r="J21" s="35"/>
      <c r="K21" s="35"/>
      <c r="L21" s="35"/>
      <c r="M21" s="20"/>
      <c r="N21" s="20"/>
      <c r="O21" s="20"/>
      <c r="P21" s="35"/>
      <c r="Q21" s="35"/>
      <c r="R21" s="20"/>
      <c r="S21" s="35"/>
      <c r="T21" s="35"/>
      <c r="U21" s="35"/>
      <c r="V21" s="119"/>
      <c r="W21" s="35"/>
      <c r="X21" s="35"/>
      <c r="Y21" s="35"/>
      <c r="Z21" s="35"/>
      <c r="AA21" s="35"/>
      <c r="AB21" s="20"/>
      <c r="AC21" s="35"/>
      <c r="AD21" s="35"/>
      <c r="AE21" s="35"/>
      <c r="AF21" s="35"/>
      <c r="AG21" s="35"/>
      <c r="AH21" s="35"/>
      <c r="AI21" s="20"/>
      <c r="AJ21" s="20"/>
      <c r="AK21" s="20"/>
      <c r="AL21" s="20"/>
      <c r="AM21" s="20"/>
      <c r="AN21" s="20"/>
      <c r="AO21" s="20"/>
      <c r="AP21" s="20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20"/>
      <c r="BG21" s="20"/>
      <c r="BH21" s="20"/>
    </row>
    <row r="22" ht="15.75" customHeight="1">
      <c r="A22" s="20"/>
      <c r="B22" s="20"/>
      <c r="C22" s="20"/>
      <c r="D22" s="20"/>
      <c r="E22" s="35"/>
      <c r="F22" s="20"/>
      <c r="G22" s="119"/>
      <c r="H22" s="35"/>
      <c r="I22" s="20"/>
      <c r="J22" s="35"/>
      <c r="K22" s="35"/>
      <c r="L22" s="35"/>
      <c r="M22" s="20"/>
      <c r="N22" s="20"/>
      <c r="O22" s="20"/>
      <c r="P22" s="35"/>
      <c r="Q22" s="35"/>
      <c r="R22" s="20"/>
      <c r="S22" s="35"/>
      <c r="T22" s="35"/>
      <c r="U22" s="35"/>
      <c r="V22" s="119"/>
      <c r="W22" s="35"/>
      <c r="X22" s="35"/>
      <c r="Y22" s="35"/>
      <c r="Z22" s="35"/>
      <c r="AA22" s="35"/>
      <c r="AB22" s="20"/>
      <c r="AC22" s="35"/>
      <c r="AD22" s="35"/>
      <c r="AE22" s="35"/>
      <c r="AF22" s="35"/>
      <c r="AG22" s="35"/>
      <c r="AH22" s="35"/>
      <c r="AI22" s="20"/>
      <c r="AJ22" s="20"/>
      <c r="AK22" s="20"/>
      <c r="AL22" s="20"/>
      <c r="AM22" s="20"/>
      <c r="AN22" s="20"/>
      <c r="AO22" s="20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20"/>
      <c r="BG22" s="20"/>
      <c r="BH22" s="20"/>
    </row>
    <row r="23" ht="15.75" customHeight="1">
      <c r="A23" s="20"/>
      <c r="B23" s="20"/>
      <c r="C23" s="20"/>
      <c r="D23" s="20"/>
      <c r="E23" s="35"/>
      <c r="F23" s="20"/>
      <c r="G23" s="119"/>
      <c r="H23" s="35"/>
      <c r="I23" s="20"/>
      <c r="J23" s="35"/>
      <c r="K23" s="35"/>
      <c r="L23" s="35"/>
      <c r="M23" s="20"/>
      <c r="N23" s="20"/>
      <c r="O23" s="20"/>
      <c r="P23" s="35"/>
      <c r="Q23" s="35"/>
      <c r="R23" s="20"/>
      <c r="S23" s="35"/>
      <c r="T23" s="35"/>
      <c r="U23" s="35"/>
      <c r="V23" s="119"/>
      <c r="W23" s="35"/>
      <c r="X23" s="35"/>
      <c r="Y23" s="35"/>
      <c r="Z23" s="35"/>
      <c r="AA23" s="35"/>
      <c r="AB23" s="20"/>
      <c r="AC23" s="35"/>
      <c r="AD23" s="35"/>
      <c r="AE23" s="35"/>
      <c r="AF23" s="35"/>
      <c r="AG23" s="35"/>
      <c r="AH23" s="35"/>
      <c r="AI23" s="20"/>
      <c r="AJ23" s="20"/>
      <c r="AK23" s="20"/>
      <c r="AL23" s="20"/>
      <c r="AM23" s="20"/>
      <c r="AN23" s="20"/>
      <c r="AO23" s="20"/>
      <c r="AP23" s="20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20"/>
      <c r="BG23" s="20"/>
      <c r="BH23" s="20"/>
    </row>
    <row r="24" ht="15.75" customHeight="1">
      <c r="A24" s="20"/>
      <c r="B24" s="20"/>
      <c r="C24" s="20"/>
      <c r="D24" s="20"/>
      <c r="E24" s="35"/>
      <c r="F24" s="20"/>
      <c r="G24" s="119"/>
      <c r="H24" s="35"/>
      <c r="I24" s="20"/>
      <c r="J24" s="35"/>
      <c r="K24" s="35"/>
      <c r="L24" s="35"/>
      <c r="M24" s="20"/>
      <c r="N24" s="20"/>
      <c r="O24" s="20"/>
      <c r="P24" s="35"/>
      <c r="Q24" s="35"/>
      <c r="R24" s="20"/>
      <c r="S24" s="35"/>
      <c r="T24" s="35"/>
      <c r="U24" s="35"/>
      <c r="V24" s="119"/>
      <c r="W24" s="35"/>
      <c r="X24" s="35"/>
      <c r="Y24" s="35"/>
      <c r="Z24" s="35"/>
      <c r="AA24" s="35"/>
      <c r="AB24" s="20"/>
      <c r="AC24" s="35"/>
      <c r="AD24" s="35"/>
      <c r="AE24" s="35"/>
      <c r="AF24" s="35"/>
      <c r="AG24" s="35"/>
      <c r="AH24" s="35"/>
      <c r="AI24" s="20"/>
      <c r="AJ24" s="20"/>
      <c r="AK24" s="20"/>
      <c r="AL24" s="20"/>
      <c r="AM24" s="20"/>
      <c r="AN24" s="20"/>
      <c r="AO24" s="20"/>
      <c r="AP24" s="20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20"/>
      <c r="BG24" s="20"/>
      <c r="BH24" s="20"/>
    </row>
    <row r="25" ht="15.75" customHeight="1">
      <c r="A25" s="20"/>
      <c r="B25" s="20"/>
      <c r="C25" s="20"/>
      <c r="D25" s="20"/>
      <c r="E25" s="35"/>
      <c r="F25" s="20"/>
      <c r="G25" s="119"/>
      <c r="H25" s="35"/>
      <c r="I25" s="20"/>
      <c r="J25" s="35"/>
      <c r="K25" s="35"/>
      <c r="L25" s="35"/>
      <c r="M25" s="20"/>
      <c r="N25" s="20"/>
      <c r="O25" s="20"/>
      <c r="P25" s="35"/>
      <c r="Q25" s="35"/>
      <c r="R25" s="20"/>
      <c r="S25" s="35"/>
      <c r="T25" s="35"/>
      <c r="U25" s="35"/>
      <c r="V25" s="119"/>
      <c r="W25" s="35"/>
      <c r="X25" s="35"/>
      <c r="Y25" s="35"/>
      <c r="Z25" s="35"/>
      <c r="AA25" s="35"/>
      <c r="AB25" s="20"/>
      <c r="AC25" s="35"/>
      <c r="AD25" s="35"/>
      <c r="AE25" s="35"/>
      <c r="AF25" s="35"/>
      <c r="AG25" s="35"/>
      <c r="AH25" s="35"/>
      <c r="AI25" s="20"/>
      <c r="AJ25" s="20"/>
      <c r="AK25" s="20"/>
      <c r="AL25" s="20"/>
      <c r="AM25" s="20"/>
      <c r="AN25" s="20"/>
      <c r="AO25" s="20"/>
      <c r="AP25" s="20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20"/>
      <c r="BG25" s="20"/>
      <c r="BH25" s="20"/>
    </row>
    <row r="26" ht="15.75" customHeight="1">
      <c r="A26" s="20"/>
      <c r="B26" s="20"/>
      <c r="C26" s="20"/>
      <c r="D26" s="20"/>
      <c r="E26" s="35"/>
      <c r="F26" s="20"/>
      <c r="G26" s="119"/>
      <c r="H26" s="35"/>
      <c r="I26" s="20"/>
      <c r="J26" s="35"/>
      <c r="K26" s="35"/>
      <c r="L26" s="35"/>
      <c r="M26" s="20"/>
      <c r="N26" s="20"/>
      <c r="O26" s="20"/>
      <c r="P26" s="35"/>
      <c r="Q26" s="35"/>
      <c r="R26" s="20"/>
      <c r="S26" s="35"/>
      <c r="T26" s="35"/>
      <c r="U26" s="35"/>
      <c r="V26" s="119"/>
      <c r="W26" s="35"/>
      <c r="X26" s="35"/>
      <c r="Y26" s="35"/>
      <c r="Z26" s="35"/>
      <c r="AA26" s="35"/>
      <c r="AB26" s="20"/>
      <c r="AC26" s="35"/>
      <c r="AD26" s="35"/>
      <c r="AE26" s="35"/>
      <c r="AF26" s="35"/>
      <c r="AG26" s="35"/>
      <c r="AH26" s="35"/>
      <c r="AI26" s="20"/>
      <c r="AJ26" s="20"/>
      <c r="AK26" s="20"/>
      <c r="AL26" s="20"/>
      <c r="AM26" s="20"/>
      <c r="AN26" s="20"/>
      <c r="AO26" s="20"/>
      <c r="AP26" s="20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20"/>
      <c r="BG26" s="20"/>
      <c r="BH26" s="20"/>
    </row>
    <row r="27" ht="15.75" customHeight="1">
      <c r="A27" s="20"/>
      <c r="B27" s="20"/>
      <c r="C27" s="20"/>
      <c r="D27" s="20"/>
      <c r="E27" s="35"/>
      <c r="F27" s="20"/>
      <c r="G27" s="119"/>
      <c r="H27" s="35"/>
      <c r="I27" s="20"/>
      <c r="J27" s="35"/>
      <c r="K27" s="35"/>
      <c r="L27" s="35"/>
      <c r="M27" s="20"/>
      <c r="N27" s="20"/>
      <c r="O27" s="20"/>
      <c r="P27" s="35"/>
      <c r="Q27" s="35"/>
      <c r="R27" s="20"/>
      <c r="S27" s="35"/>
      <c r="T27" s="35"/>
      <c r="U27" s="35"/>
      <c r="V27" s="119"/>
      <c r="W27" s="35"/>
      <c r="X27" s="35"/>
      <c r="Y27" s="35"/>
      <c r="Z27" s="35"/>
      <c r="AA27" s="35"/>
      <c r="AB27" s="20"/>
      <c r="AC27" s="35"/>
      <c r="AD27" s="35"/>
      <c r="AE27" s="35"/>
      <c r="AF27" s="35"/>
      <c r="AG27" s="35"/>
      <c r="AH27" s="35"/>
      <c r="AI27" s="20"/>
      <c r="AJ27" s="20"/>
      <c r="AK27" s="20"/>
      <c r="AL27" s="20"/>
      <c r="AM27" s="20"/>
      <c r="AN27" s="20"/>
      <c r="AO27" s="20"/>
      <c r="AP27" s="20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20"/>
      <c r="BG27" s="20"/>
      <c r="BH27" s="20"/>
    </row>
    <row r="28" ht="15.75" customHeight="1">
      <c r="A28" s="20"/>
      <c r="B28" s="20"/>
      <c r="C28" s="20"/>
      <c r="D28" s="20"/>
      <c r="E28" s="35"/>
      <c r="F28" s="20"/>
      <c r="G28" s="119"/>
      <c r="H28" s="35"/>
      <c r="I28" s="20"/>
      <c r="J28" s="35"/>
      <c r="K28" s="35"/>
      <c r="L28" s="35"/>
      <c r="M28" s="20"/>
      <c r="N28" s="20"/>
      <c r="O28" s="20"/>
      <c r="P28" s="35"/>
      <c r="Q28" s="35"/>
      <c r="R28" s="20"/>
      <c r="S28" s="35"/>
      <c r="T28" s="35"/>
      <c r="U28" s="35"/>
      <c r="V28" s="119"/>
      <c r="W28" s="35"/>
      <c r="X28" s="35"/>
      <c r="Y28" s="35"/>
      <c r="Z28" s="35"/>
      <c r="AA28" s="35"/>
      <c r="AB28" s="20"/>
      <c r="AC28" s="35"/>
      <c r="AD28" s="35"/>
      <c r="AE28" s="35"/>
      <c r="AF28" s="35"/>
      <c r="AG28" s="35"/>
      <c r="AH28" s="35"/>
      <c r="AI28" s="20"/>
      <c r="AJ28" s="20"/>
      <c r="AK28" s="20"/>
      <c r="AL28" s="20"/>
      <c r="AM28" s="20"/>
      <c r="AN28" s="20"/>
      <c r="AO28" s="20"/>
      <c r="AP28" s="20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20"/>
      <c r="BG28" s="20"/>
      <c r="BH28" s="20"/>
    </row>
    <row r="29" ht="15.75" customHeight="1">
      <c r="B29" s="20"/>
    </row>
    <row r="30" ht="15.75" customHeight="1">
      <c r="B30" s="20"/>
    </row>
    <row r="31" ht="15.75" customHeight="1">
      <c r="B31" s="20"/>
    </row>
    <row r="32" ht="15.75" customHeight="1">
      <c r="B32" s="20"/>
    </row>
    <row r="33" ht="15.75" customHeight="1">
      <c r="B33" s="20"/>
    </row>
    <row r="34" ht="15.75" customHeight="1">
      <c r="B34" s="20"/>
    </row>
    <row r="35" ht="15.75" customHeight="1">
      <c r="B35" s="20"/>
    </row>
    <row r="36" ht="15.75" customHeight="1">
      <c r="B36" s="20"/>
    </row>
    <row r="37" ht="15.75" customHeight="1">
      <c r="B37" s="20"/>
    </row>
    <row r="38" ht="15.75" customHeight="1">
      <c r="B38" s="20"/>
    </row>
    <row r="39" ht="15.75" customHeight="1">
      <c r="B39" s="20"/>
    </row>
    <row r="40" ht="15.75" customHeight="1">
      <c r="B40" s="20"/>
    </row>
    <row r="41" ht="15.75" customHeight="1">
      <c r="B41" s="20"/>
    </row>
    <row r="42" ht="15.75" customHeight="1">
      <c r="B42" s="20"/>
    </row>
    <row r="43" ht="15.75" customHeight="1">
      <c r="B43" s="20"/>
    </row>
    <row r="44" ht="15.75" customHeight="1">
      <c r="B44" s="20"/>
    </row>
    <row r="45" ht="15.75" customHeight="1">
      <c r="B45" s="20"/>
    </row>
    <row r="46" ht="15.75" customHeight="1">
      <c r="B46" s="20"/>
    </row>
    <row r="47" ht="15.75" customHeight="1">
      <c r="B47" s="20"/>
    </row>
    <row r="48" ht="15.75" customHeight="1">
      <c r="B48" s="20"/>
    </row>
    <row r="49" ht="15.75" customHeight="1">
      <c r="B49" s="20"/>
    </row>
    <row r="50" ht="15.75" customHeight="1">
      <c r="B50" s="20"/>
    </row>
    <row r="51" ht="15.75" customHeight="1">
      <c r="B51" s="20"/>
    </row>
    <row r="52" ht="15.75" customHeight="1">
      <c r="B52" s="20"/>
    </row>
    <row r="53" ht="15.75" customHeight="1">
      <c r="B53" s="20"/>
    </row>
    <row r="54" ht="15.75" customHeight="1">
      <c r="B54" s="20"/>
    </row>
    <row r="55" ht="15.75" customHeight="1">
      <c r="B55" s="20"/>
    </row>
    <row r="56" ht="15.75" customHeight="1">
      <c r="B56" s="20"/>
    </row>
    <row r="57" ht="15.75" customHeight="1">
      <c r="B57" s="20"/>
    </row>
    <row r="58" ht="15.75" customHeight="1">
      <c r="B58" s="20"/>
    </row>
    <row r="59" ht="15.75" customHeight="1">
      <c r="B59" s="20"/>
    </row>
    <row r="60" ht="15.75" customHeight="1">
      <c r="B60" s="20"/>
    </row>
    <row r="61" ht="15.75" customHeight="1">
      <c r="B61" s="20"/>
    </row>
    <row r="62" ht="15.75" customHeight="1">
      <c r="B62" s="20"/>
    </row>
    <row r="63" ht="15.75" customHeight="1">
      <c r="B63" s="20"/>
    </row>
    <row r="64" ht="15.75" customHeight="1">
      <c r="B64" s="20"/>
    </row>
    <row r="65" ht="15.75" customHeight="1">
      <c r="B65" s="20"/>
    </row>
    <row r="66" ht="15.75" customHeight="1">
      <c r="B66" s="20"/>
    </row>
    <row r="67" ht="15.75" customHeight="1">
      <c r="B67" s="20"/>
    </row>
    <row r="68" ht="15.75" customHeight="1">
      <c r="B68" s="20"/>
    </row>
    <row r="69" ht="15.75" customHeight="1">
      <c r="B69" s="20"/>
    </row>
    <row r="70" ht="15.75" customHeight="1">
      <c r="B70" s="20"/>
    </row>
    <row r="71" ht="15.75" customHeight="1">
      <c r="B71" s="20"/>
    </row>
    <row r="72" ht="15.75" customHeight="1">
      <c r="B72" s="20"/>
    </row>
    <row r="73" ht="15.75" customHeight="1">
      <c r="B73" s="20"/>
    </row>
    <row r="74" ht="15.75" customHeight="1">
      <c r="B74" s="20"/>
    </row>
    <row r="75" ht="15.75" customHeight="1">
      <c r="B75" s="20"/>
    </row>
    <row r="76" ht="15.75" customHeight="1">
      <c r="B76" s="20"/>
    </row>
    <row r="77" ht="15.75" customHeight="1">
      <c r="B77" s="20"/>
    </row>
    <row r="78" ht="15.75" customHeight="1">
      <c r="B78" s="20"/>
    </row>
    <row r="79" ht="15.75" customHeight="1">
      <c r="B79" s="20"/>
    </row>
    <row r="80" ht="15.75" customHeight="1">
      <c r="B80" s="20"/>
    </row>
    <row r="81" ht="15.75" customHeight="1">
      <c r="B81" s="20"/>
    </row>
    <row r="82" ht="15.75" customHeight="1">
      <c r="B82" s="20"/>
    </row>
    <row r="83" ht="15.75" customHeight="1">
      <c r="B83" s="20"/>
    </row>
    <row r="84" ht="15.75" customHeight="1">
      <c r="B84" s="20"/>
    </row>
    <row r="85" ht="15.75" customHeight="1">
      <c r="B85" s="20"/>
    </row>
    <row r="86" ht="15.75" customHeight="1">
      <c r="B86" s="20"/>
    </row>
    <row r="87" ht="15.75" customHeight="1">
      <c r="B87" s="20"/>
    </row>
    <row r="88" ht="15.75" customHeight="1">
      <c r="B88" s="20"/>
    </row>
    <row r="89" ht="15.75" customHeight="1">
      <c r="B89" s="20"/>
    </row>
    <row r="90" ht="15.75" customHeight="1">
      <c r="B90" s="20"/>
    </row>
    <row r="91" ht="15.75" customHeight="1">
      <c r="B91" s="20"/>
    </row>
    <row r="92" ht="15.75" customHeight="1">
      <c r="B92" s="20"/>
    </row>
    <row r="93" ht="15.75" customHeight="1">
      <c r="B93" s="20"/>
    </row>
    <row r="94" ht="15.75" customHeight="1">
      <c r="B94" s="20"/>
    </row>
    <row r="95" ht="15.75" customHeight="1">
      <c r="B95" s="20"/>
    </row>
    <row r="96" ht="15.75" customHeight="1">
      <c r="B96" s="20"/>
    </row>
    <row r="97" ht="15.75" customHeight="1">
      <c r="B97" s="20"/>
    </row>
    <row r="98" ht="15.75" customHeight="1">
      <c r="B98" s="20"/>
    </row>
    <row r="99" ht="15.75" customHeight="1">
      <c r="B99" s="20"/>
    </row>
    <row r="100" ht="15.75" customHeight="1">
      <c r="B100" s="20"/>
    </row>
    <row r="101" ht="15.75" customHeight="1">
      <c r="B101" s="20"/>
    </row>
    <row r="102" ht="15.75" customHeight="1">
      <c r="B102" s="20"/>
    </row>
    <row r="103" ht="15.75" customHeight="1">
      <c r="B103" s="20"/>
    </row>
    <row r="104" ht="15.75" customHeight="1">
      <c r="B104" s="20"/>
    </row>
    <row r="105" ht="15.75" customHeight="1">
      <c r="B105" s="20"/>
    </row>
    <row r="106" ht="15.75" customHeight="1">
      <c r="B106" s="20"/>
    </row>
    <row r="107" ht="15.75" customHeight="1">
      <c r="B107" s="20"/>
    </row>
    <row r="108" ht="15.75" customHeight="1">
      <c r="B108" s="20"/>
    </row>
    <row r="109" ht="15.75" customHeight="1">
      <c r="B109" s="20"/>
    </row>
    <row r="110" ht="15.75" customHeight="1">
      <c r="B110" s="20"/>
    </row>
    <row r="111" ht="15.75" customHeight="1">
      <c r="B111" s="20"/>
    </row>
    <row r="112" ht="15.75" customHeight="1">
      <c r="B112" s="20"/>
    </row>
    <row r="113" ht="15.75" customHeight="1">
      <c r="B113" s="20"/>
    </row>
    <row r="114" ht="15.75" customHeight="1">
      <c r="B114" s="20"/>
    </row>
    <row r="115" ht="15.75" customHeight="1">
      <c r="B115" s="20"/>
    </row>
    <row r="116" ht="15.75" customHeight="1">
      <c r="B116" s="20"/>
    </row>
    <row r="117" ht="15.75" customHeight="1">
      <c r="B117" s="20"/>
    </row>
    <row r="118" ht="15.75" customHeight="1">
      <c r="B118" s="20"/>
    </row>
    <row r="119" ht="15.75" customHeight="1">
      <c r="B119" s="20"/>
    </row>
    <row r="120" ht="15.75" customHeight="1">
      <c r="B120" s="20"/>
    </row>
    <row r="121" ht="15.75" customHeight="1">
      <c r="B121" s="20"/>
    </row>
    <row r="122" ht="15.75" customHeight="1">
      <c r="B122" s="20"/>
    </row>
    <row r="123" ht="15.75" customHeight="1">
      <c r="B123" s="20"/>
    </row>
    <row r="124" ht="15.75" customHeight="1">
      <c r="B124" s="20"/>
    </row>
    <row r="125" ht="15.75" customHeight="1">
      <c r="B125" s="20"/>
    </row>
    <row r="126" ht="15.75" customHeight="1">
      <c r="B126" s="20"/>
    </row>
    <row r="127" ht="15.75" customHeight="1">
      <c r="B127" s="20"/>
    </row>
    <row r="128" ht="15.75" customHeight="1">
      <c r="B128" s="20"/>
    </row>
    <row r="129" ht="15.75" customHeight="1">
      <c r="B129" s="20"/>
    </row>
    <row r="130" ht="15.75" customHeight="1">
      <c r="B130" s="20"/>
    </row>
    <row r="131" ht="15.75" customHeight="1">
      <c r="B131" s="20"/>
    </row>
    <row r="132" ht="15.75" customHeight="1">
      <c r="B132" s="20"/>
    </row>
    <row r="133" ht="15.75" customHeight="1">
      <c r="B133" s="20"/>
    </row>
    <row r="134" ht="15.75" customHeight="1">
      <c r="B134" s="20"/>
    </row>
    <row r="135" ht="15.75" customHeight="1">
      <c r="B135" s="20"/>
    </row>
    <row r="136" ht="15.75" customHeight="1">
      <c r="B136" s="20"/>
    </row>
    <row r="137" ht="15.75" customHeight="1">
      <c r="B137" s="20"/>
    </row>
    <row r="138" ht="15.75" customHeight="1">
      <c r="B138" s="20"/>
    </row>
    <row r="139" ht="15.75" customHeight="1">
      <c r="B139" s="20"/>
    </row>
    <row r="140" ht="15.75" customHeight="1">
      <c r="B140" s="20"/>
    </row>
    <row r="141" ht="15.75" customHeight="1">
      <c r="B141" s="20"/>
    </row>
    <row r="142" ht="15.75" customHeight="1">
      <c r="B142" s="20"/>
    </row>
    <row r="143" ht="15.75" customHeight="1">
      <c r="B143" s="20"/>
    </row>
    <row r="144" ht="15.75" customHeight="1">
      <c r="B144" s="20"/>
    </row>
    <row r="145" ht="15.75" customHeight="1">
      <c r="B145" s="20"/>
    </row>
    <row r="146" ht="15.75" customHeight="1">
      <c r="B146" s="20"/>
    </row>
    <row r="147" ht="15.75" customHeight="1">
      <c r="B147" s="20"/>
    </row>
    <row r="148" ht="15.75" customHeight="1">
      <c r="B148" s="20"/>
    </row>
    <row r="149" ht="15.75" customHeight="1">
      <c r="B149" s="20"/>
    </row>
    <row r="150" ht="15.75" customHeight="1">
      <c r="B150" s="20"/>
    </row>
    <row r="151" ht="15.75" customHeight="1">
      <c r="B151" s="20"/>
    </row>
    <row r="152" ht="15.75" customHeight="1">
      <c r="B152" s="20"/>
    </row>
    <row r="153" ht="15.75" customHeight="1">
      <c r="B153" s="20"/>
    </row>
    <row r="154" ht="15.75" customHeight="1">
      <c r="B154" s="20"/>
    </row>
    <row r="155" ht="15.75" customHeight="1">
      <c r="B155" s="20"/>
    </row>
    <row r="156" ht="15.75" customHeight="1">
      <c r="B156" s="20"/>
    </row>
    <row r="157" ht="15.75" customHeight="1">
      <c r="B157" s="20"/>
    </row>
    <row r="158" ht="15.75" customHeight="1">
      <c r="B158" s="20"/>
    </row>
    <row r="159" ht="15.75" customHeight="1">
      <c r="B159" s="20"/>
    </row>
    <row r="160" ht="15.75" customHeight="1">
      <c r="B160" s="20"/>
    </row>
    <row r="161" ht="15.75" customHeight="1">
      <c r="B161" s="20"/>
    </row>
    <row r="162" ht="15.75" customHeight="1">
      <c r="B162" s="20"/>
    </row>
    <row r="163" ht="15.75" customHeight="1">
      <c r="B163" s="20"/>
    </row>
    <row r="164" ht="15.75" customHeight="1">
      <c r="B164" s="20"/>
    </row>
    <row r="165" ht="15.75" customHeight="1">
      <c r="B165" s="20"/>
    </row>
    <row r="166" ht="15.75" customHeight="1">
      <c r="B166" s="20"/>
    </row>
    <row r="167" ht="15.75" customHeight="1">
      <c r="B167" s="20"/>
    </row>
    <row r="168" ht="15.75" customHeight="1">
      <c r="B168" s="20"/>
    </row>
    <row r="169" ht="15.75" customHeight="1">
      <c r="B169" s="20"/>
    </row>
    <row r="170" ht="15.75" customHeight="1">
      <c r="B170" s="20"/>
    </row>
    <row r="171" ht="15.75" customHeight="1">
      <c r="B171" s="20"/>
    </row>
    <row r="172" ht="15.75" customHeight="1">
      <c r="B172" s="20"/>
    </row>
    <row r="173" ht="15.75" customHeight="1">
      <c r="B173" s="20"/>
    </row>
    <row r="174" ht="15.75" customHeight="1">
      <c r="B174" s="20"/>
    </row>
    <row r="175" ht="15.75" customHeight="1">
      <c r="B175" s="20"/>
    </row>
    <row r="176" ht="15.75" customHeight="1">
      <c r="B176" s="20"/>
    </row>
    <row r="177" ht="15.75" customHeight="1">
      <c r="B177" s="20"/>
    </row>
    <row r="178" ht="15.75" customHeight="1">
      <c r="B178" s="20"/>
    </row>
    <row r="179" ht="15.75" customHeight="1">
      <c r="B179" s="20"/>
    </row>
    <row r="180" ht="15.75" customHeight="1">
      <c r="B180" s="20"/>
    </row>
    <row r="181" ht="15.75" customHeight="1">
      <c r="B181" s="20"/>
    </row>
    <row r="182" ht="15.75" customHeight="1">
      <c r="B182" s="20"/>
    </row>
    <row r="183" ht="15.75" customHeight="1">
      <c r="B183" s="20"/>
    </row>
    <row r="184" ht="15.75" customHeight="1">
      <c r="B184" s="20"/>
    </row>
    <row r="185" ht="15.75" customHeight="1">
      <c r="B185" s="20"/>
    </row>
    <row r="186" ht="15.75" customHeight="1">
      <c r="B186" s="20"/>
    </row>
    <row r="187" ht="15.75" customHeight="1">
      <c r="B187" s="20"/>
    </row>
    <row r="188" ht="15.75" customHeight="1">
      <c r="B188" s="20"/>
    </row>
    <row r="189" ht="15.75" customHeight="1">
      <c r="B189" s="20"/>
    </row>
    <row r="190" ht="15.75" customHeight="1">
      <c r="B190" s="20"/>
    </row>
    <row r="191" ht="15.75" customHeight="1">
      <c r="B191" s="20"/>
    </row>
    <row r="192" ht="15.75" customHeight="1">
      <c r="B192" s="20"/>
    </row>
    <row r="193" ht="15.75" customHeight="1">
      <c r="B193" s="20"/>
    </row>
    <row r="194" ht="15.75" customHeight="1">
      <c r="B194" s="20"/>
    </row>
    <row r="195" ht="15.75" customHeight="1">
      <c r="B195" s="20"/>
    </row>
    <row r="196" ht="15.75" customHeight="1">
      <c r="B196" s="20"/>
    </row>
    <row r="197" ht="15.75" customHeight="1">
      <c r="B197" s="20"/>
    </row>
    <row r="198" ht="15.75" customHeight="1">
      <c r="B198" s="20"/>
    </row>
    <row r="199" ht="15.75" customHeight="1">
      <c r="B199" s="20"/>
    </row>
    <row r="200" ht="15.75" customHeight="1">
      <c r="B200" s="20"/>
    </row>
    <row r="201" ht="15.75" customHeight="1">
      <c r="B201" s="20"/>
    </row>
    <row r="202" ht="15.75" customHeight="1">
      <c r="B202" s="20"/>
    </row>
    <row r="203" ht="15.75" customHeight="1">
      <c r="B203" s="20"/>
    </row>
    <row r="204" ht="15.75" customHeight="1">
      <c r="B204" s="20"/>
    </row>
    <row r="205" ht="15.75" customHeight="1">
      <c r="B205" s="20"/>
    </row>
    <row r="206" ht="15.75" customHeight="1">
      <c r="B206" s="20"/>
    </row>
    <row r="207" ht="15.75" customHeight="1">
      <c r="B207" s="20"/>
    </row>
    <row r="208" ht="15.75" customHeight="1">
      <c r="B208" s="20"/>
    </row>
    <row r="209" ht="15.75" customHeight="1">
      <c r="B209" s="20"/>
    </row>
    <row r="210" ht="15.75" customHeight="1">
      <c r="B210" s="20"/>
    </row>
    <row r="211" ht="15.75" customHeight="1">
      <c r="B211" s="20"/>
    </row>
    <row r="212" ht="15.75" customHeight="1">
      <c r="B212" s="20"/>
    </row>
    <row r="213" ht="15.75" customHeight="1">
      <c r="B213" s="20"/>
    </row>
    <row r="214" ht="15.75" customHeight="1">
      <c r="B214" s="20"/>
    </row>
    <row r="215" ht="15.75" customHeight="1">
      <c r="B215" s="20"/>
    </row>
    <row r="216" ht="15.75" customHeight="1">
      <c r="B216" s="20"/>
    </row>
    <row r="217" ht="15.75" customHeight="1">
      <c r="B217" s="20"/>
    </row>
    <row r="218" ht="15.75" customHeight="1">
      <c r="B218" s="20"/>
    </row>
    <row r="219" ht="15.75" customHeight="1">
      <c r="B219" s="20"/>
    </row>
    <row r="220" ht="15.75" customHeight="1">
      <c r="B220" s="20"/>
    </row>
    <row r="221" ht="15.75" customHeight="1">
      <c r="B221" s="20"/>
    </row>
    <row r="222" ht="15.75" customHeight="1">
      <c r="B222" s="20"/>
    </row>
    <row r="223" ht="15.75" customHeight="1">
      <c r="B223" s="20"/>
    </row>
    <row r="224" ht="15.75" customHeight="1">
      <c r="B224" s="20"/>
    </row>
    <row r="225" ht="15.75" customHeight="1">
      <c r="B225" s="20"/>
    </row>
    <row r="226" ht="15.75" customHeight="1">
      <c r="B226" s="20"/>
    </row>
    <row r="227" ht="15.75" customHeight="1">
      <c r="B227" s="20"/>
    </row>
    <row r="228" ht="15.75" customHeight="1">
      <c r="B228" s="20"/>
    </row>
    <row r="229" ht="15.75" customHeight="1">
      <c r="B229" s="20"/>
    </row>
    <row r="230" ht="15.75" customHeight="1">
      <c r="B230" s="20"/>
    </row>
    <row r="231" ht="15.75" customHeight="1">
      <c r="B231" s="20"/>
    </row>
    <row r="232" ht="15.75" customHeight="1">
      <c r="B232" s="20"/>
    </row>
    <row r="233" ht="15.75" customHeight="1">
      <c r="B233" s="20"/>
    </row>
    <row r="234" ht="15.75" customHeight="1">
      <c r="B234" s="20"/>
    </row>
    <row r="235" ht="15.75" customHeight="1">
      <c r="B235" s="20"/>
    </row>
    <row r="236" ht="15.75" customHeight="1">
      <c r="B236" s="20"/>
    </row>
    <row r="237" ht="15.75" customHeight="1">
      <c r="B237" s="20"/>
    </row>
    <row r="238" ht="15.75" customHeight="1">
      <c r="B238" s="20"/>
    </row>
    <row r="239" ht="15.75" customHeight="1">
      <c r="B239" s="20"/>
    </row>
    <row r="240" ht="15.75" customHeight="1">
      <c r="B240" s="20"/>
    </row>
    <row r="241" ht="15.75" customHeight="1">
      <c r="B241" s="20"/>
    </row>
    <row r="242" ht="15.75" customHeight="1">
      <c r="B242" s="20"/>
    </row>
    <row r="243" ht="15.75" customHeight="1">
      <c r="B243" s="20"/>
    </row>
    <row r="244" ht="15.75" customHeight="1">
      <c r="B244" s="20"/>
    </row>
    <row r="245" ht="15.75" customHeight="1">
      <c r="B245" s="20"/>
    </row>
    <row r="246" ht="15.75" customHeight="1">
      <c r="B246" s="20"/>
    </row>
    <row r="247" ht="15.75" customHeight="1">
      <c r="B247" s="20"/>
    </row>
    <row r="248" ht="15.75" customHeight="1">
      <c r="B248" s="20"/>
    </row>
    <row r="249" ht="15.75" customHeight="1">
      <c r="B249" s="20"/>
    </row>
    <row r="250" ht="15.75" customHeight="1">
      <c r="B250" s="20"/>
    </row>
    <row r="251" ht="15.75" customHeight="1">
      <c r="B251" s="20"/>
    </row>
    <row r="252" ht="15.75" customHeight="1">
      <c r="B252" s="20"/>
    </row>
    <row r="253" ht="15.75" customHeight="1">
      <c r="B253" s="20"/>
    </row>
    <row r="254" ht="15.75" customHeight="1">
      <c r="B254" s="20"/>
    </row>
    <row r="255" ht="15.75" customHeight="1">
      <c r="B255" s="20"/>
    </row>
    <row r="256" ht="15.75" customHeight="1">
      <c r="B256" s="20"/>
    </row>
    <row r="257" ht="15.75" customHeight="1">
      <c r="B257" s="20"/>
    </row>
    <row r="258" ht="15.75" customHeight="1">
      <c r="B258" s="20"/>
    </row>
    <row r="259" ht="15.75" customHeight="1">
      <c r="B259" s="20"/>
    </row>
    <row r="260" ht="15.75" customHeight="1">
      <c r="B260" s="20"/>
    </row>
    <row r="261" ht="15.75" customHeight="1">
      <c r="B261" s="20"/>
    </row>
    <row r="262" ht="15.75" customHeight="1">
      <c r="B262" s="20"/>
    </row>
    <row r="263" ht="15.75" customHeight="1">
      <c r="B263" s="20"/>
    </row>
    <row r="264" ht="15.75" customHeight="1">
      <c r="B264" s="20"/>
    </row>
    <row r="265" ht="15.75" customHeight="1">
      <c r="B265" s="20"/>
    </row>
    <row r="266" ht="15.75" customHeight="1">
      <c r="B266" s="20"/>
    </row>
    <row r="267" ht="15.75" customHeight="1">
      <c r="B267" s="20"/>
    </row>
    <row r="268" ht="15.75" customHeight="1">
      <c r="B268" s="20"/>
    </row>
    <row r="269" ht="15.75" customHeight="1">
      <c r="B269" s="20"/>
    </row>
    <row r="270" ht="15.75" customHeight="1">
      <c r="B270" s="20"/>
    </row>
    <row r="271" ht="15.75" customHeight="1">
      <c r="B271" s="20"/>
    </row>
    <row r="272" ht="15.75" customHeight="1">
      <c r="B272" s="20"/>
    </row>
    <row r="273" ht="15.75" customHeight="1">
      <c r="B273" s="20"/>
    </row>
    <row r="274" ht="15.75" customHeight="1">
      <c r="B274" s="20"/>
    </row>
    <row r="275" ht="15.75" customHeight="1">
      <c r="B275" s="20"/>
    </row>
    <row r="276" ht="15.75" customHeight="1">
      <c r="B276" s="20"/>
    </row>
    <row r="277" ht="15.75" customHeight="1">
      <c r="B277" s="20"/>
    </row>
    <row r="278" ht="15.75" customHeight="1">
      <c r="B278" s="20"/>
    </row>
    <row r="279" ht="15.75" customHeight="1">
      <c r="B279" s="20"/>
    </row>
    <row r="280" ht="15.75" customHeight="1">
      <c r="B280" s="20"/>
    </row>
    <row r="281" ht="15.75" customHeight="1">
      <c r="B281" s="20"/>
    </row>
    <row r="282" ht="15.75" customHeight="1">
      <c r="B282" s="20"/>
    </row>
    <row r="283" ht="15.75" customHeight="1">
      <c r="B283" s="20"/>
    </row>
    <row r="284" ht="15.75" customHeight="1">
      <c r="B284" s="20"/>
    </row>
    <row r="285" ht="15.75" customHeight="1">
      <c r="B285" s="20"/>
    </row>
    <row r="286" ht="15.75" customHeight="1">
      <c r="B286" s="20"/>
    </row>
    <row r="287" ht="15.75" customHeight="1">
      <c r="B287" s="20"/>
    </row>
    <row r="288" ht="15.75" customHeight="1">
      <c r="B288" s="20"/>
    </row>
    <row r="289" ht="15.75" customHeight="1">
      <c r="B289" s="20"/>
    </row>
    <row r="290" ht="15.75" customHeight="1">
      <c r="B290" s="20"/>
    </row>
    <row r="291" ht="15.75" customHeight="1">
      <c r="B291" s="20"/>
    </row>
    <row r="292" ht="15.75" customHeight="1">
      <c r="B292" s="20"/>
    </row>
    <row r="293" ht="15.75" customHeight="1">
      <c r="B293" s="20"/>
    </row>
    <row r="294" ht="15.75" customHeight="1">
      <c r="B294" s="20"/>
    </row>
    <row r="295" ht="15.75" customHeight="1">
      <c r="B295" s="20"/>
    </row>
    <row r="296" ht="15.75" customHeight="1">
      <c r="B296" s="20"/>
    </row>
    <row r="297" ht="15.75" customHeight="1">
      <c r="B297" s="20"/>
    </row>
    <row r="298" ht="15.75" customHeight="1">
      <c r="B298" s="20"/>
    </row>
    <row r="299" ht="15.75" customHeight="1">
      <c r="B299" s="20"/>
    </row>
    <row r="300" ht="15.75" customHeight="1">
      <c r="B300" s="20"/>
    </row>
    <row r="301" ht="15.75" customHeight="1">
      <c r="B301" s="20"/>
    </row>
    <row r="302" ht="15.75" customHeight="1">
      <c r="B302" s="20"/>
    </row>
    <row r="303" ht="15.75" customHeight="1">
      <c r="B303" s="20"/>
    </row>
    <row r="304" ht="15.75" customHeight="1">
      <c r="B304" s="20"/>
    </row>
    <row r="305" ht="15.75" customHeight="1">
      <c r="B305" s="20"/>
    </row>
    <row r="306" ht="15.75" customHeight="1">
      <c r="B306" s="20"/>
    </row>
    <row r="307" ht="15.75" customHeight="1">
      <c r="B307" s="20"/>
    </row>
    <row r="308" ht="15.75" customHeight="1">
      <c r="B308" s="20"/>
    </row>
    <row r="309" ht="15.75" customHeight="1">
      <c r="B309" s="20"/>
    </row>
    <row r="310" ht="15.75" customHeight="1">
      <c r="B310" s="20"/>
    </row>
    <row r="311" ht="15.75" customHeight="1">
      <c r="B311" s="20"/>
    </row>
    <row r="312" ht="15.75" customHeight="1">
      <c r="B312" s="20"/>
    </row>
    <row r="313" ht="15.75" customHeight="1">
      <c r="B313" s="20"/>
    </row>
    <row r="314" ht="15.75" customHeight="1">
      <c r="B314" s="20"/>
    </row>
    <row r="315" ht="15.75" customHeight="1">
      <c r="B315" s="20"/>
    </row>
    <row r="316" ht="15.75" customHeight="1">
      <c r="B316" s="20"/>
    </row>
    <row r="317" ht="15.75" customHeight="1">
      <c r="B317" s="20"/>
    </row>
    <row r="318" ht="15.75" customHeight="1">
      <c r="B318" s="20"/>
    </row>
    <row r="319" ht="15.75" customHeight="1">
      <c r="B319" s="20"/>
    </row>
    <row r="320" ht="15.75" customHeight="1">
      <c r="B320" s="20"/>
    </row>
    <row r="321" ht="15.75" customHeight="1">
      <c r="B321" s="20"/>
    </row>
    <row r="322" ht="15.75" customHeight="1">
      <c r="B322" s="20"/>
    </row>
    <row r="323" ht="15.75" customHeight="1">
      <c r="B323" s="20"/>
    </row>
    <row r="324" ht="15.75" customHeight="1">
      <c r="B324" s="20"/>
    </row>
    <row r="325" ht="15.75" customHeight="1">
      <c r="B325" s="20"/>
    </row>
    <row r="326" ht="15.75" customHeight="1">
      <c r="B326" s="20"/>
    </row>
    <row r="327" ht="15.75" customHeight="1">
      <c r="B327" s="20"/>
    </row>
    <row r="328" ht="15.75" customHeight="1">
      <c r="B328" s="20"/>
    </row>
    <row r="329" ht="15.75" customHeight="1">
      <c r="B329" s="20"/>
    </row>
    <row r="330" ht="15.75" customHeight="1">
      <c r="B330" s="20"/>
    </row>
    <row r="331" ht="15.75" customHeight="1">
      <c r="B331" s="20"/>
    </row>
    <row r="332" ht="15.75" customHeight="1">
      <c r="B332" s="20"/>
    </row>
    <row r="333" ht="15.75" customHeight="1">
      <c r="B333" s="20"/>
    </row>
    <row r="334" ht="15.75" customHeight="1">
      <c r="B334" s="20"/>
    </row>
    <row r="335" ht="15.75" customHeight="1">
      <c r="B335" s="20"/>
    </row>
    <row r="336" ht="15.75" customHeight="1">
      <c r="B336" s="20"/>
    </row>
    <row r="337" ht="15.75" customHeight="1">
      <c r="B337" s="20"/>
    </row>
    <row r="338" ht="15.75" customHeight="1">
      <c r="B338" s="20"/>
    </row>
    <row r="339" ht="15.75" customHeight="1">
      <c r="B339" s="20"/>
    </row>
    <row r="340" ht="15.75" customHeight="1">
      <c r="B340" s="20"/>
    </row>
    <row r="341" ht="15.75" customHeight="1">
      <c r="B341" s="20"/>
    </row>
    <row r="342" ht="15.75" customHeight="1">
      <c r="B342" s="20"/>
    </row>
    <row r="343" ht="15.75" customHeight="1">
      <c r="B343" s="20"/>
    </row>
    <row r="344" ht="15.75" customHeight="1">
      <c r="B344" s="20"/>
    </row>
    <row r="345" ht="15.75" customHeight="1">
      <c r="B345" s="20"/>
    </row>
    <row r="346" ht="15.75" customHeight="1">
      <c r="B346" s="20"/>
    </row>
    <row r="347" ht="15.75" customHeight="1">
      <c r="B347" s="20"/>
    </row>
    <row r="348" ht="15.75" customHeight="1">
      <c r="B348" s="20"/>
    </row>
    <row r="349" ht="15.75" customHeight="1">
      <c r="B349" s="20"/>
    </row>
    <row r="350" ht="15.75" customHeight="1">
      <c r="B350" s="20"/>
    </row>
    <row r="351" ht="15.75" customHeight="1">
      <c r="B351" s="20"/>
    </row>
    <row r="352" ht="15.75" customHeight="1">
      <c r="B352" s="20"/>
    </row>
    <row r="353" ht="15.75" customHeight="1">
      <c r="B353" s="20"/>
    </row>
    <row r="354" ht="15.75" customHeight="1">
      <c r="B354" s="20"/>
    </row>
    <row r="355" ht="15.75" customHeight="1">
      <c r="B355" s="20"/>
    </row>
    <row r="356" ht="15.75" customHeight="1">
      <c r="B356" s="20"/>
    </row>
    <row r="357" ht="15.75" customHeight="1">
      <c r="B357" s="20"/>
    </row>
    <row r="358" ht="15.75" customHeight="1">
      <c r="B358" s="20"/>
    </row>
    <row r="359" ht="15.75" customHeight="1">
      <c r="B359" s="20"/>
    </row>
    <row r="360" ht="15.75" customHeight="1">
      <c r="B360" s="20"/>
    </row>
    <row r="361" ht="15.75" customHeight="1">
      <c r="B361" s="20"/>
    </row>
    <row r="362" ht="15.75" customHeight="1">
      <c r="B362" s="20"/>
    </row>
    <row r="363" ht="15.75" customHeight="1">
      <c r="B363" s="20"/>
    </row>
    <row r="364" ht="15.75" customHeight="1">
      <c r="B364" s="20"/>
    </row>
    <row r="365" ht="15.75" customHeight="1">
      <c r="B365" s="20"/>
    </row>
    <row r="366" ht="15.75" customHeight="1">
      <c r="B366" s="20"/>
    </row>
    <row r="367" ht="15.75" customHeight="1">
      <c r="B367" s="20"/>
    </row>
    <row r="368" ht="15.75" customHeight="1">
      <c r="B368" s="20"/>
    </row>
    <row r="369" ht="15.75" customHeight="1">
      <c r="B369" s="20"/>
    </row>
    <row r="370" ht="15.75" customHeight="1">
      <c r="B370" s="20"/>
    </row>
    <row r="371" ht="15.75" customHeight="1">
      <c r="B371" s="20"/>
    </row>
    <row r="372" ht="15.75" customHeight="1">
      <c r="B372" s="20"/>
    </row>
    <row r="373" ht="15.75" customHeight="1">
      <c r="B373" s="20"/>
    </row>
    <row r="374" ht="15.75" customHeight="1">
      <c r="B374" s="20"/>
    </row>
    <row r="375" ht="15.75" customHeight="1">
      <c r="B375" s="20"/>
    </row>
    <row r="376" ht="15.75" customHeight="1">
      <c r="B376" s="20"/>
    </row>
    <row r="377" ht="15.75" customHeight="1">
      <c r="B377" s="20"/>
    </row>
    <row r="378" ht="15.75" customHeight="1">
      <c r="B378" s="20"/>
    </row>
    <row r="379" ht="15.75" customHeight="1">
      <c r="B379" s="20"/>
    </row>
    <row r="380" ht="15.75" customHeight="1">
      <c r="B380" s="20"/>
    </row>
    <row r="381" ht="15.75" customHeight="1">
      <c r="B381" s="20"/>
    </row>
    <row r="382" ht="15.75" customHeight="1">
      <c r="B382" s="20"/>
    </row>
    <row r="383" ht="15.75" customHeight="1">
      <c r="B383" s="20"/>
    </row>
    <row r="384" ht="15.75" customHeight="1">
      <c r="B384" s="20"/>
    </row>
    <row r="385" ht="15.75" customHeight="1">
      <c r="B385" s="20"/>
    </row>
    <row r="386" ht="15.75" customHeight="1">
      <c r="B386" s="20"/>
    </row>
    <row r="387" ht="15.75" customHeight="1">
      <c r="B387" s="20"/>
    </row>
    <row r="388" ht="15.75" customHeight="1">
      <c r="B388" s="20"/>
    </row>
    <row r="389" ht="15.75" customHeight="1">
      <c r="B389" s="20"/>
    </row>
    <row r="390" ht="15.75" customHeight="1">
      <c r="B390" s="20"/>
    </row>
    <row r="391" ht="15.75" customHeight="1">
      <c r="B391" s="20"/>
    </row>
    <row r="392" ht="15.75" customHeight="1">
      <c r="B392" s="20"/>
    </row>
    <row r="393" ht="15.75" customHeight="1">
      <c r="B393" s="20"/>
    </row>
    <row r="394" ht="15.75" customHeight="1">
      <c r="B394" s="20"/>
    </row>
    <row r="395" ht="15.75" customHeight="1">
      <c r="B395" s="20"/>
    </row>
    <row r="396" ht="15.75" customHeight="1">
      <c r="B396" s="20"/>
    </row>
    <row r="397" ht="15.75" customHeight="1">
      <c r="B397" s="20"/>
    </row>
    <row r="398" ht="15.75" customHeight="1">
      <c r="B398" s="20"/>
    </row>
    <row r="399" ht="15.75" customHeight="1">
      <c r="B399" s="20"/>
    </row>
    <row r="400" ht="15.75" customHeight="1">
      <c r="B400" s="20"/>
    </row>
    <row r="401" ht="15.75" customHeight="1">
      <c r="B401" s="20"/>
    </row>
    <row r="402" ht="15.75" customHeight="1">
      <c r="B402" s="20"/>
    </row>
    <row r="403" ht="15.75" customHeight="1">
      <c r="B403" s="20"/>
    </row>
    <row r="404" ht="15.75" customHeight="1">
      <c r="B404" s="20"/>
    </row>
    <row r="405" ht="15.75" customHeight="1">
      <c r="B405" s="20"/>
    </row>
    <row r="406" ht="15.75" customHeight="1">
      <c r="B406" s="20"/>
    </row>
    <row r="407" ht="15.75" customHeight="1">
      <c r="B407" s="20"/>
    </row>
    <row r="408" ht="15.75" customHeight="1">
      <c r="B408" s="20"/>
    </row>
    <row r="409" ht="15.75" customHeight="1">
      <c r="B409" s="20"/>
    </row>
    <row r="410" ht="15.75" customHeight="1">
      <c r="B410" s="20"/>
    </row>
    <row r="411" ht="15.75" customHeight="1">
      <c r="B411" s="20"/>
    </row>
    <row r="412" ht="15.75" customHeight="1">
      <c r="B412" s="20"/>
    </row>
    <row r="413" ht="15.75" customHeight="1">
      <c r="B413" s="20"/>
    </row>
    <row r="414" ht="15.75" customHeight="1">
      <c r="B414" s="20"/>
    </row>
    <row r="415" ht="15.75" customHeight="1">
      <c r="B415" s="20"/>
    </row>
    <row r="416" ht="15.75" customHeight="1">
      <c r="B416" s="20"/>
    </row>
    <row r="417" ht="15.75" customHeight="1">
      <c r="B417" s="20"/>
    </row>
    <row r="418" ht="15.75" customHeight="1">
      <c r="B418" s="20"/>
    </row>
    <row r="419" ht="15.75" customHeight="1">
      <c r="B419" s="20"/>
    </row>
    <row r="420" ht="15.75" customHeight="1">
      <c r="B420" s="20"/>
    </row>
    <row r="421" ht="15.75" customHeight="1">
      <c r="B421" s="20"/>
    </row>
    <row r="422" ht="15.75" customHeight="1">
      <c r="B422" s="20"/>
    </row>
    <row r="423" ht="15.75" customHeight="1">
      <c r="B423" s="20"/>
    </row>
    <row r="424" ht="15.75" customHeight="1">
      <c r="B424" s="20"/>
    </row>
    <row r="425" ht="15.75" customHeight="1">
      <c r="B425" s="20"/>
    </row>
    <row r="426" ht="15.75" customHeight="1">
      <c r="B426" s="20"/>
    </row>
    <row r="427" ht="15.75" customHeight="1">
      <c r="B427" s="20"/>
    </row>
    <row r="428" ht="15.75" customHeight="1">
      <c r="B428" s="20"/>
    </row>
    <row r="429" ht="15.75" customHeight="1">
      <c r="B429" s="20"/>
    </row>
    <row r="430" ht="15.75" customHeight="1">
      <c r="B430" s="20"/>
    </row>
    <row r="431" ht="15.75" customHeight="1">
      <c r="B431" s="20"/>
    </row>
    <row r="432" ht="15.75" customHeight="1">
      <c r="B432" s="20"/>
    </row>
    <row r="433" ht="15.75" customHeight="1">
      <c r="B433" s="20"/>
    </row>
    <row r="434" ht="15.75" customHeight="1">
      <c r="B434" s="20"/>
    </row>
    <row r="435" ht="15.75" customHeight="1">
      <c r="B435" s="20"/>
    </row>
    <row r="436" ht="15.75" customHeight="1">
      <c r="B436" s="20"/>
    </row>
    <row r="437" ht="15.75" customHeight="1">
      <c r="B437" s="20"/>
    </row>
    <row r="438" ht="15.75" customHeight="1">
      <c r="B438" s="20"/>
    </row>
    <row r="439" ht="15.75" customHeight="1">
      <c r="B439" s="20"/>
    </row>
    <row r="440" ht="15.75" customHeight="1">
      <c r="B440" s="20"/>
    </row>
    <row r="441" ht="15.75" customHeight="1">
      <c r="B441" s="20"/>
    </row>
    <row r="442" ht="15.75" customHeight="1">
      <c r="B442" s="20"/>
    </row>
    <row r="443" ht="15.75" customHeight="1">
      <c r="B443" s="20"/>
    </row>
    <row r="444" ht="15.75" customHeight="1">
      <c r="B444" s="20"/>
    </row>
    <row r="445" ht="15.75" customHeight="1">
      <c r="B445" s="20"/>
    </row>
    <row r="446" ht="15.75" customHeight="1">
      <c r="B446" s="20"/>
    </row>
    <row r="447" ht="15.75" customHeight="1">
      <c r="B447" s="20"/>
    </row>
    <row r="448" ht="15.75" customHeight="1">
      <c r="B448" s="20"/>
    </row>
    <row r="449" ht="15.75" customHeight="1">
      <c r="B449" s="20"/>
    </row>
    <row r="450" ht="15.75" customHeight="1">
      <c r="B450" s="20"/>
    </row>
    <row r="451" ht="15.75" customHeight="1">
      <c r="B451" s="20"/>
    </row>
    <row r="452" ht="15.75" customHeight="1">
      <c r="B452" s="20"/>
    </row>
    <row r="453" ht="15.75" customHeight="1">
      <c r="B453" s="20"/>
    </row>
    <row r="454" ht="15.75" customHeight="1">
      <c r="B454" s="20"/>
    </row>
    <row r="455" ht="15.75" customHeight="1">
      <c r="B455" s="20"/>
    </row>
    <row r="456" ht="15.75" customHeight="1">
      <c r="B456" s="20"/>
    </row>
    <row r="457" ht="15.75" customHeight="1">
      <c r="B457" s="20"/>
    </row>
    <row r="458" ht="15.75" customHeight="1">
      <c r="B458" s="20"/>
    </row>
    <row r="459" ht="15.75" customHeight="1">
      <c r="B459" s="20"/>
    </row>
    <row r="460" ht="15.75" customHeight="1">
      <c r="B460" s="20"/>
    </row>
    <row r="461" ht="15.75" customHeight="1">
      <c r="B461" s="20"/>
    </row>
    <row r="462" ht="15.75" customHeight="1">
      <c r="B462" s="20"/>
    </row>
    <row r="463" ht="15.75" customHeight="1">
      <c r="B463" s="20"/>
    </row>
    <row r="464" ht="15.75" customHeight="1">
      <c r="B464" s="20"/>
    </row>
    <row r="465" ht="15.75" customHeight="1">
      <c r="B465" s="20"/>
    </row>
    <row r="466" ht="15.75" customHeight="1">
      <c r="B466" s="20"/>
    </row>
    <row r="467" ht="15.75" customHeight="1">
      <c r="B467" s="20"/>
    </row>
    <row r="468" ht="15.75" customHeight="1">
      <c r="B468" s="20"/>
    </row>
    <row r="469" ht="15.75" customHeight="1">
      <c r="B469" s="20"/>
    </row>
    <row r="470" ht="15.75" customHeight="1">
      <c r="B470" s="20"/>
    </row>
    <row r="471" ht="15.75" customHeight="1">
      <c r="B471" s="20"/>
    </row>
    <row r="472" ht="15.75" customHeight="1">
      <c r="B472" s="20"/>
    </row>
    <row r="473" ht="15.75" customHeight="1">
      <c r="B473" s="20"/>
    </row>
    <row r="474" ht="15.75" customHeight="1">
      <c r="B474" s="20"/>
    </row>
    <row r="475" ht="15.75" customHeight="1">
      <c r="B475" s="20"/>
    </row>
    <row r="476" ht="15.75" customHeight="1">
      <c r="B476" s="20"/>
    </row>
    <row r="477" ht="15.75" customHeight="1">
      <c r="B477" s="20"/>
    </row>
    <row r="478" ht="15.75" customHeight="1">
      <c r="B478" s="20"/>
    </row>
    <row r="479" ht="15.75" customHeight="1">
      <c r="B479" s="20"/>
    </row>
    <row r="480" ht="15.75" customHeight="1">
      <c r="B480" s="20"/>
    </row>
    <row r="481" ht="15.75" customHeight="1">
      <c r="B481" s="20"/>
    </row>
    <row r="482" ht="15.75" customHeight="1">
      <c r="B482" s="20"/>
    </row>
    <row r="483" ht="15.75" customHeight="1">
      <c r="B483" s="20"/>
    </row>
    <row r="484" ht="15.75" customHeight="1">
      <c r="B484" s="20"/>
    </row>
    <row r="485" ht="15.75" customHeight="1">
      <c r="B485" s="20"/>
    </row>
    <row r="486" ht="15.75" customHeight="1">
      <c r="B486" s="20"/>
    </row>
    <row r="487" ht="15.75" customHeight="1">
      <c r="B487" s="20"/>
    </row>
    <row r="488" ht="15.75" customHeight="1">
      <c r="B488" s="20"/>
    </row>
    <row r="489" ht="15.75" customHeight="1">
      <c r="B489" s="20"/>
    </row>
    <row r="490" ht="15.75" customHeight="1">
      <c r="B490" s="20"/>
    </row>
    <row r="491" ht="15.75" customHeight="1">
      <c r="B491" s="20"/>
    </row>
    <row r="492" ht="15.75" customHeight="1">
      <c r="B492" s="20"/>
    </row>
    <row r="493" ht="15.75" customHeight="1">
      <c r="B493" s="20"/>
    </row>
    <row r="494" ht="15.75" customHeight="1">
      <c r="B494" s="20"/>
    </row>
    <row r="495" ht="15.75" customHeight="1">
      <c r="B495" s="20"/>
    </row>
    <row r="496" ht="15.75" customHeight="1">
      <c r="B496" s="20"/>
    </row>
    <row r="497" ht="15.75" customHeight="1">
      <c r="B497" s="20"/>
    </row>
    <row r="498" ht="15.75" customHeight="1">
      <c r="B498" s="20"/>
    </row>
    <row r="499" ht="15.75" customHeight="1">
      <c r="B499" s="20"/>
    </row>
    <row r="500" ht="15.75" customHeight="1">
      <c r="B500" s="20"/>
    </row>
    <row r="501" ht="15.75" customHeight="1">
      <c r="B501" s="20"/>
    </row>
    <row r="502" ht="15.75" customHeight="1">
      <c r="B502" s="20"/>
    </row>
    <row r="503" ht="15.75" customHeight="1">
      <c r="B503" s="20"/>
    </row>
    <row r="504" ht="15.75" customHeight="1">
      <c r="B504" s="20"/>
    </row>
    <row r="505" ht="15.75" customHeight="1">
      <c r="B505" s="20"/>
    </row>
    <row r="506" ht="15.75" customHeight="1">
      <c r="B506" s="20"/>
    </row>
    <row r="507" ht="15.75" customHeight="1">
      <c r="B507" s="20"/>
    </row>
    <row r="508" ht="15.75" customHeight="1">
      <c r="B508" s="20"/>
    </row>
    <row r="509" ht="15.75" customHeight="1">
      <c r="B509" s="20"/>
    </row>
    <row r="510" ht="15.75" customHeight="1">
      <c r="B510" s="20"/>
    </row>
    <row r="511" ht="15.75" customHeight="1">
      <c r="B511" s="20"/>
    </row>
    <row r="512" ht="15.75" customHeight="1">
      <c r="B512" s="20"/>
    </row>
    <row r="513" ht="15.75" customHeight="1">
      <c r="B513" s="20"/>
    </row>
    <row r="514" ht="15.75" customHeight="1">
      <c r="B514" s="20"/>
    </row>
    <row r="515" ht="15.75" customHeight="1">
      <c r="B515" s="20"/>
    </row>
    <row r="516" ht="15.75" customHeight="1">
      <c r="B516" s="20"/>
    </row>
    <row r="517" ht="15.75" customHeight="1">
      <c r="B517" s="20"/>
    </row>
    <row r="518" ht="15.75" customHeight="1">
      <c r="B518" s="20"/>
    </row>
    <row r="519" ht="15.75" customHeight="1">
      <c r="B519" s="20"/>
    </row>
    <row r="520" ht="15.75" customHeight="1">
      <c r="B520" s="20"/>
    </row>
    <row r="521" ht="15.75" customHeight="1">
      <c r="B521" s="20"/>
    </row>
    <row r="522" ht="15.75" customHeight="1">
      <c r="B522" s="20"/>
    </row>
    <row r="523" ht="15.75" customHeight="1">
      <c r="B523" s="20"/>
    </row>
    <row r="524" ht="15.75" customHeight="1">
      <c r="B524" s="20"/>
    </row>
    <row r="525" ht="15.75" customHeight="1">
      <c r="B525" s="20"/>
    </row>
    <row r="526" ht="15.75" customHeight="1">
      <c r="B526" s="20"/>
    </row>
    <row r="527" ht="15.75" customHeight="1">
      <c r="B527" s="20"/>
    </row>
    <row r="528" ht="15.75" customHeight="1">
      <c r="B528" s="20"/>
    </row>
    <row r="529" ht="15.75" customHeight="1">
      <c r="B529" s="20"/>
    </row>
    <row r="530" ht="15.75" customHeight="1">
      <c r="B530" s="20"/>
    </row>
    <row r="531" ht="15.75" customHeight="1">
      <c r="B531" s="20"/>
    </row>
    <row r="532" ht="15.75" customHeight="1">
      <c r="B532" s="20"/>
    </row>
    <row r="533" ht="15.75" customHeight="1">
      <c r="B533" s="20"/>
    </row>
    <row r="534" ht="15.75" customHeight="1">
      <c r="B534" s="20"/>
    </row>
    <row r="535" ht="15.75" customHeight="1">
      <c r="B535" s="20"/>
    </row>
    <row r="536" ht="15.75" customHeight="1">
      <c r="B536" s="20"/>
    </row>
    <row r="537" ht="15.75" customHeight="1">
      <c r="B537" s="20"/>
    </row>
    <row r="538" ht="15.75" customHeight="1">
      <c r="B538" s="20"/>
    </row>
    <row r="539" ht="15.75" customHeight="1">
      <c r="B539" s="20"/>
    </row>
    <row r="540" ht="15.75" customHeight="1">
      <c r="B540" s="20"/>
    </row>
    <row r="541" ht="15.75" customHeight="1">
      <c r="B541" s="20"/>
    </row>
    <row r="542" ht="15.75" customHeight="1">
      <c r="B542" s="20"/>
    </row>
    <row r="543" ht="15.75" customHeight="1">
      <c r="B543" s="20"/>
    </row>
    <row r="544" ht="15.75" customHeight="1">
      <c r="B544" s="20"/>
    </row>
    <row r="545" ht="15.75" customHeight="1">
      <c r="B545" s="20"/>
    </row>
    <row r="546" ht="15.75" customHeight="1">
      <c r="B546" s="20"/>
    </row>
    <row r="547" ht="15.75" customHeight="1">
      <c r="B547" s="20"/>
    </row>
    <row r="548" ht="15.75" customHeight="1">
      <c r="B548" s="20"/>
    </row>
    <row r="549" ht="15.75" customHeight="1">
      <c r="B549" s="20"/>
    </row>
    <row r="550" ht="15.75" customHeight="1">
      <c r="B550" s="20"/>
    </row>
    <row r="551" ht="15.75" customHeight="1">
      <c r="B551" s="20"/>
    </row>
    <row r="552" ht="15.75" customHeight="1">
      <c r="B552" s="20"/>
    </row>
    <row r="553" ht="15.75" customHeight="1">
      <c r="B553" s="20"/>
    </row>
    <row r="554" ht="15.75" customHeight="1">
      <c r="B554" s="20"/>
    </row>
    <row r="555" ht="15.75" customHeight="1">
      <c r="B555" s="20"/>
    </row>
    <row r="556" ht="15.75" customHeight="1">
      <c r="B556" s="20"/>
    </row>
    <row r="557" ht="15.75" customHeight="1">
      <c r="B557" s="20"/>
    </row>
    <row r="558" ht="15.75" customHeight="1">
      <c r="B558" s="20"/>
    </row>
    <row r="559" ht="15.75" customHeight="1">
      <c r="B559" s="20"/>
    </row>
    <row r="560" ht="15.75" customHeight="1">
      <c r="B560" s="20"/>
    </row>
    <row r="561" ht="15.75" customHeight="1">
      <c r="B561" s="20"/>
    </row>
    <row r="562" ht="15.75" customHeight="1">
      <c r="B562" s="20"/>
    </row>
    <row r="563" ht="15.75" customHeight="1">
      <c r="B563" s="20"/>
    </row>
    <row r="564" ht="15.75" customHeight="1">
      <c r="B564" s="20"/>
    </row>
    <row r="565" ht="15.75" customHeight="1">
      <c r="B565" s="20"/>
    </row>
    <row r="566" ht="15.75" customHeight="1">
      <c r="B566" s="20"/>
    </row>
    <row r="567" ht="15.75" customHeight="1">
      <c r="B567" s="20"/>
    </row>
    <row r="568" ht="15.75" customHeight="1">
      <c r="B568" s="20"/>
    </row>
    <row r="569" ht="15.75" customHeight="1">
      <c r="B569" s="20"/>
    </row>
    <row r="570" ht="15.75" customHeight="1">
      <c r="B570" s="20"/>
    </row>
    <row r="571" ht="15.75" customHeight="1">
      <c r="B571" s="20"/>
    </row>
    <row r="572" ht="15.75" customHeight="1">
      <c r="B572" s="20"/>
    </row>
    <row r="573" ht="15.75" customHeight="1">
      <c r="B573" s="20"/>
    </row>
    <row r="574" ht="15.75" customHeight="1">
      <c r="B574" s="20"/>
    </row>
    <row r="575" ht="15.75" customHeight="1">
      <c r="B575" s="20"/>
    </row>
    <row r="576" ht="15.75" customHeight="1">
      <c r="B576" s="20"/>
    </row>
    <row r="577" ht="15.75" customHeight="1">
      <c r="B577" s="20"/>
    </row>
    <row r="578" ht="15.75" customHeight="1">
      <c r="B578" s="20"/>
    </row>
    <row r="579" ht="15.75" customHeight="1">
      <c r="B579" s="20"/>
    </row>
    <row r="580" ht="15.75" customHeight="1">
      <c r="B580" s="20"/>
    </row>
    <row r="581" ht="15.75" customHeight="1">
      <c r="B581" s="20"/>
    </row>
    <row r="582" ht="15.75" customHeight="1">
      <c r="B582" s="20"/>
    </row>
    <row r="583" ht="15.75" customHeight="1">
      <c r="B583" s="20"/>
    </row>
    <row r="584" ht="15.75" customHeight="1">
      <c r="B584" s="20"/>
    </row>
    <row r="585" ht="15.75" customHeight="1">
      <c r="B585" s="20"/>
    </row>
    <row r="586" ht="15.75" customHeight="1">
      <c r="B586" s="20"/>
    </row>
    <row r="587" ht="15.75" customHeight="1">
      <c r="B587" s="20"/>
    </row>
    <row r="588" ht="15.75" customHeight="1">
      <c r="B588" s="20"/>
    </row>
    <row r="589" ht="15.75" customHeight="1">
      <c r="B589" s="20"/>
    </row>
    <row r="590" ht="15.75" customHeight="1">
      <c r="B590" s="20"/>
    </row>
    <row r="591" ht="15.75" customHeight="1">
      <c r="B591" s="20"/>
    </row>
    <row r="592" ht="15.75" customHeight="1">
      <c r="B592" s="20"/>
    </row>
    <row r="593" ht="15.75" customHeight="1">
      <c r="B593" s="20"/>
    </row>
    <row r="594" ht="15.75" customHeight="1">
      <c r="B594" s="20"/>
    </row>
    <row r="595" ht="15.75" customHeight="1">
      <c r="B595" s="20"/>
    </row>
    <row r="596" ht="15.75" customHeight="1">
      <c r="B596" s="20"/>
    </row>
    <row r="597" ht="15.75" customHeight="1">
      <c r="B597" s="20"/>
    </row>
    <row r="598" ht="15.75" customHeight="1">
      <c r="B598" s="20"/>
    </row>
    <row r="599" ht="15.75" customHeight="1">
      <c r="B599" s="20"/>
    </row>
    <row r="600" ht="15.75" customHeight="1">
      <c r="B600" s="20"/>
    </row>
    <row r="601" ht="15.75" customHeight="1">
      <c r="B601" s="20"/>
    </row>
    <row r="602" ht="15.75" customHeight="1">
      <c r="B602" s="20"/>
    </row>
    <row r="603" ht="15.75" customHeight="1">
      <c r="B603" s="20"/>
    </row>
    <row r="604" ht="15.75" customHeight="1">
      <c r="B604" s="20"/>
    </row>
    <row r="605" ht="15.75" customHeight="1">
      <c r="B605" s="20"/>
    </row>
    <row r="606" ht="15.75" customHeight="1">
      <c r="B606" s="20"/>
    </row>
    <row r="607" ht="15.75" customHeight="1">
      <c r="B607" s="20"/>
    </row>
    <row r="608" ht="15.75" customHeight="1">
      <c r="B608" s="20"/>
    </row>
    <row r="609" ht="15.75" customHeight="1">
      <c r="B609" s="20"/>
    </row>
    <row r="610" ht="15.75" customHeight="1">
      <c r="B610" s="20"/>
    </row>
    <row r="611" ht="15.75" customHeight="1">
      <c r="B611" s="20"/>
    </row>
    <row r="612" ht="15.75" customHeight="1">
      <c r="B612" s="20"/>
    </row>
    <row r="613" ht="15.75" customHeight="1">
      <c r="B613" s="20"/>
    </row>
    <row r="614" ht="15.75" customHeight="1">
      <c r="B614" s="20"/>
    </row>
    <row r="615" ht="15.75" customHeight="1">
      <c r="B615" s="20"/>
    </row>
    <row r="616" ht="15.75" customHeight="1">
      <c r="B616" s="20"/>
    </row>
    <row r="617" ht="15.75" customHeight="1">
      <c r="B617" s="20"/>
    </row>
    <row r="618" ht="15.75" customHeight="1">
      <c r="B618" s="20"/>
    </row>
    <row r="619" ht="15.75" customHeight="1">
      <c r="B619" s="20"/>
    </row>
    <row r="620" ht="15.75" customHeight="1">
      <c r="B620" s="20"/>
    </row>
    <row r="621" ht="15.75" customHeight="1">
      <c r="B621" s="20"/>
    </row>
    <row r="622" ht="15.75" customHeight="1">
      <c r="B622" s="20"/>
    </row>
    <row r="623" ht="15.75" customHeight="1">
      <c r="B623" s="20"/>
    </row>
    <row r="624" ht="15.75" customHeight="1">
      <c r="B624" s="20"/>
    </row>
    <row r="625" ht="15.75" customHeight="1">
      <c r="B625" s="20"/>
    </row>
    <row r="626" ht="15.75" customHeight="1">
      <c r="B626" s="20"/>
    </row>
    <row r="627" ht="15.75" customHeight="1">
      <c r="B627" s="20"/>
    </row>
    <row r="628" ht="15.75" customHeight="1">
      <c r="B628" s="20"/>
    </row>
    <row r="629" ht="15.75" customHeight="1">
      <c r="B629" s="20"/>
    </row>
    <row r="630" ht="15.75" customHeight="1">
      <c r="B630" s="20"/>
    </row>
    <row r="631" ht="15.75" customHeight="1">
      <c r="B631" s="20"/>
    </row>
    <row r="632" ht="15.75" customHeight="1">
      <c r="B632" s="20"/>
    </row>
    <row r="633" ht="15.75" customHeight="1">
      <c r="B633" s="20"/>
    </row>
    <row r="634" ht="15.75" customHeight="1">
      <c r="B634" s="20"/>
    </row>
    <row r="635" ht="15.75" customHeight="1">
      <c r="B635" s="20"/>
    </row>
    <row r="636" ht="15.75" customHeight="1">
      <c r="B636" s="20"/>
    </row>
    <row r="637" ht="15.75" customHeight="1">
      <c r="B637" s="20"/>
    </row>
    <row r="638" ht="15.75" customHeight="1">
      <c r="B638" s="20"/>
    </row>
    <row r="639" ht="15.75" customHeight="1">
      <c r="B639" s="20"/>
    </row>
    <row r="640" ht="15.75" customHeight="1">
      <c r="B640" s="20"/>
    </row>
    <row r="641" ht="15.75" customHeight="1">
      <c r="B641" s="20"/>
    </row>
    <row r="642" ht="15.75" customHeight="1">
      <c r="B642" s="20"/>
    </row>
    <row r="643" ht="15.75" customHeight="1">
      <c r="B643" s="20"/>
    </row>
    <row r="644" ht="15.75" customHeight="1">
      <c r="B644" s="20"/>
    </row>
    <row r="645" ht="15.75" customHeight="1">
      <c r="B645" s="20"/>
    </row>
    <row r="646" ht="15.75" customHeight="1">
      <c r="B646" s="20"/>
    </row>
    <row r="647" ht="15.75" customHeight="1">
      <c r="B647" s="20"/>
    </row>
    <row r="648" ht="15.75" customHeight="1">
      <c r="B648" s="20"/>
    </row>
    <row r="649" ht="15.75" customHeight="1">
      <c r="B649" s="20"/>
    </row>
    <row r="650" ht="15.75" customHeight="1">
      <c r="B650" s="20"/>
    </row>
    <row r="651" ht="15.75" customHeight="1">
      <c r="B651" s="20"/>
    </row>
    <row r="652" ht="15.75" customHeight="1">
      <c r="B652" s="20"/>
    </row>
    <row r="653" ht="15.75" customHeight="1">
      <c r="B653" s="20"/>
    </row>
    <row r="654" ht="15.75" customHeight="1">
      <c r="B654" s="20"/>
    </row>
    <row r="655" ht="15.75" customHeight="1">
      <c r="B655" s="20"/>
    </row>
    <row r="656" ht="15.75" customHeight="1">
      <c r="B656" s="20"/>
    </row>
    <row r="657" ht="15.75" customHeight="1">
      <c r="B657" s="20"/>
    </row>
    <row r="658" ht="15.75" customHeight="1">
      <c r="B658" s="20"/>
    </row>
    <row r="659" ht="15.75" customHeight="1">
      <c r="B659" s="20"/>
    </row>
    <row r="660" ht="15.75" customHeight="1">
      <c r="B660" s="20"/>
    </row>
    <row r="661" ht="15.75" customHeight="1">
      <c r="B661" s="20"/>
    </row>
    <row r="662" ht="15.75" customHeight="1">
      <c r="B662" s="20"/>
    </row>
    <row r="663" ht="15.75" customHeight="1">
      <c r="B663" s="20"/>
    </row>
    <row r="664" ht="15.75" customHeight="1">
      <c r="B664" s="20"/>
    </row>
    <row r="665" ht="15.75" customHeight="1">
      <c r="B665" s="20"/>
    </row>
    <row r="666" ht="15.75" customHeight="1">
      <c r="B666" s="20"/>
    </row>
    <row r="667" ht="15.75" customHeight="1">
      <c r="B667" s="20"/>
    </row>
    <row r="668" ht="15.75" customHeight="1">
      <c r="B668" s="20"/>
    </row>
    <row r="669" ht="15.75" customHeight="1">
      <c r="B669" s="20"/>
    </row>
    <row r="670" ht="15.75" customHeight="1">
      <c r="B670" s="20"/>
    </row>
    <row r="671" ht="15.75" customHeight="1">
      <c r="B671" s="20"/>
    </row>
    <row r="672" ht="15.75" customHeight="1">
      <c r="B672" s="20"/>
    </row>
    <row r="673" ht="15.75" customHeight="1">
      <c r="B673" s="20"/>
    </row>
    <row r="674" ht="15.75" customHeight="1">
      <c r="B674" s="20"/>
    </row>
    <row r="675" ht="15.75" customHeight="1">
      <c r="B675" s="20"/>
    </row>
    <row r="676" ht="15.75" customHeight="1">
      <c r="B676" s="20"/>
    </row>
    <row r="677" ht="15.75" customHeight="1">
      <c r="B677" s="20"/>
    </row>
    <row r="678" ht="15.75" customHeight="1">
      <c r="B678" s="20"/>
    </row>
    <row r="679" ht="15.75" customHeight="1">
      <c r="B679" s="20"/>
    </row>
    <row r="680" ht="15.75" customHeight="1">
      <c r="B680" s="20"/>
    </row>
    <row r="681" ht="15.75" customHeight="1">
      <c r="B681" s="20"/>
    </row>
    <row r="682" ht="15.75" customHeight="1">
      <c r="B682" s="20"/>
    </row>
    <row r="683" ht="15.75" customHeight="1">
      <c r="B683" s="20"/>
    </row>
    <row r="684" ht="15.75" customHeight="1">
      <c r="B684" s="20"/>
    </row>
    <row r="685" ht="15.75" customHeight="1">
      <c r="B685" s="20"/>
    </row>
    <row r="686" ht="15.75" customHeight="1">
      <c r="B686" s="20"/>
    </row>
    <row r="687" ht="15.75" customHeight="1">
      <c r="B687" s="20"/>
    </row>
    <row r="688" ht="15.75" customHeight="1">
      <c r="B688" s="20"/>
    </row>
    <row r="689" ht="15.75" customHeight="1">
      <c r="B689" s="20"/>
    </row>
    <row r="690" ht="15.75" customHeight="1">
      <c r="B690" s="20"/>
    </row>
    <row r="691" ht="15.75" customHeight="1">
      <c r="B691" s="20"/>
    </row>
    <row r="692" ht="15.75" customHeight="1">
      <c r="B692" s="20"/>
    </row>
    <row r="693" ht="15.75" customHeight="1">
      <c r="B693" s="20"/>
    </row>
    <row r="694" ht="15.75" customHeight="1">
      <c r="B694" s="20"/>
    </row>
    <row r="695" ht="15.75" customHeight="1">
      <c r="B695" s="20"/>
    </row>
    <row r="696" ht="15.75" customHeight="1">
      <c r="B696" s="20"/>
    </row>
    <row r="697" ht="15.75" customHeight="1">
      <c r="B697" s="20"/>
    </row>
    <row r="698" ht="15.75" customHeight="1">
      <c r="B698" s="20"/>
    </row>
    <row r="699" ht="15.75" customHeight="1">
      <c r="B699" s="20"/>
    </row>
    <row r="700" ht="15.75" customHeight="1">
      <c r="B700" s="20"/>
    </row>
    <row r="701" ht="15.75" customHeight="1">
      <c r="B701" s="20"/>
    </row>
    <row r="702" ht="15.75" customHeight="1">
      <c r="B702" s="20"/>
    </row>
    <row r="703" ht="15.75" customHeight="1">
      <c r="B703" s="20"/>
    </row>
    <row r="704" ht="15.75" customHeight="1">
      <c r="B704" s="20"/>
    </row>
    <row r="705" ht="15.75" customHeight="1">
      <c r="B705" s="20"/>
    </row>
    <row r="706" ht="15.75" customHeight="1">
      <c r="B706" s="20"/>
    </row>
    <row r="707" ht="15.75" customHeight="1">
      <c r="B707" s="20"/>
    </row>
    <row r="708" ht="15.75" customHeight="1">
      <c r="B708" s="20"/>
    </row>
    <row r="709" ht="15.75" customHeight="1">
      <c r="B709" s="20"/>
    </row>
    <row r="710" ht="15.75" customHeight="1">
      <c r="B710" s="20"/>
    </row>
    <row r="711" ht="15.75" customHeight="1">
      <c r="B711" s="20"/>
    </row>
    <row r="712" ht="15.75" customHeight="1">
      <c r="B712" s="20"/>
    </row>
    <row r="713" ht="15.75" customHeight="1">
      <c r="B713" s="20"/>
    </row>
    <row r="714" ht="15.75" customHeight="1">
      <c r="B714" s="20"/>
    </row>
    <row r="715" ht="15.75" customHeight="1">
      <c r="B715" s="20"/>
    </row>
    <row r="716" ht="15.75" customHeight="1">
      <c r="B716" s="20"/>
    </row>
    <row r="717" ht="15.75" customHeight="1">
      <c r="B717" s="20"/>
    </row>
    <row r="718" ht="15.75" customHeight="1">
      <c r="B718" s="20"/>
    </row>
    <row r="719" ht="15.75" customHeight="1">
      <c r="B719" s="20"/>
    </row>
    <row r="720" ht="15.75" customHeight="1">
      <c r="B720" s="20"/>
    </row>
    <row r="721" ht="15.75" customHeight="1">
      <c r="B721" s="20"/>
    </row>
    <row r="722" ht="15.75" customHeight="1">
      <c r="B722" s="20"/>
    </row>
    <row r="723" ht="15.75" customHeight="1">
      <c r="B723" s="20"/>
    </row>
    <row r="724" ht="15.75" customHeight="1">
      <c r="B724" s="20"/>
    </row>
    <row r="725" ht="15.75" customHeight="1">
      <c r="B725" s="20"/>
    </row>
    <row r="726" ht="15.75" customHeight="1">
      <c r="B726" s="20"/>
    </row>
    <row r="727" ht="15.75" customHeight="1">
      <c r="B727" s="20"/>
    </row>
    <row r="728" ht="15.75" customHeight="1">
      <c r="B728" s="20"/>
    </row>
    <row r="729" ht="15.75" customHeight="1">
      <c r="B729" s="20"/>
    </row>
    <row r="730" ht="15.75" customHeight="1">
      <c r="B730" s="20"/>
    </row>
    <row r="731" ht="15.75" customHeight="1">
      <c r="B731" s="20"/>
    </row>
    <row r="732" ht="15.75" customHeight="1">
      <c r="B732" s="20"/>
    </row>
    <row r="733" ht="15.75" customHeight="1">
      <c r="B733" s="20"/>
    </row>
    <row r="734" ht="15.75" customHeight="1">
      <c r="B734" s="20"/>
    </row>
    <row r="735" ht="15.75" customHeight="1">
      <c r="B735" s="20"/>
    </row>
    <row r="736" ht="15.75" customHeight="1">
      <c r="B736" s="20"/>
    </row>
    <row r="737" ht="15.75" customHeight="1">
      <c r="B737" s="20"/>
    </row>
    <row r="738" ht="15.75" customHeight="1">
      <c r="B738" s="20"/>
    </row>
    <row r="739" ht="15.75" customHeight="1">
      <c r="B739" s="20"/>
    </row>
    <row r="740" ht="15.75" customHeight="1">
      <c r="B740" s="20"/>
    </row>
    <row r="741" ht="15.75" customHeight="1">
      <c r="B741" s="20"/>
    </row>
    <row r="742" ht="15.75" customHeight="1">
      <c r="B742" s="20"/>
    </row>
    <row r="743" ht="15.75" customHeight="1">
      <c r="B743" s="20"/>
    </row>
    <row r="744" ht="15.75" customHeight="1">
      <c r="B744" s="20"/>
    </row>
    <row r="745" ht="15.75" customHeight="1">
      <c r="B745" s="20"/>
    </row>
    <row r="746" ht="15.75" customHeight="1">
      <c r="B746" s="20"/>
    </row>
    <row r="747" ht="15.75" customHeight="1">
      <c r="B747" s="20"/>
    </row>
    <row r="748" ht="15.75" customHeight="1">
      <c r="B748" s="20"/>
    </row>
    <row r="749" ht="15.75" customHeight="1">
      <c r="B749" s="20"/>
    </row>
    <row r="750" ht="15.75" customHeight="1">
      <c r="B750" s="20"/>
    </row>
    <row r="751" ht="15.75" customHeight="1">
      <c r="B751" s="20"/>
    </row>
    <row r="752" ht="15.75" customHeight="1">
      <c r="B752" s="20"/>
    </row>
    <row r="753" ht="15.75" customHeight="1">
      <c r="B753" s="20"/>
    </row>
    <row r="754" ht="15.75" customHeight="1">
      <c r="B754" s="20"/>
    </row>
    <row r="755" ht="15.75" customHeight="1">
      <c r="B755" s="20"/>
    </row>
    <row r="756" ht="15.75" customHeight="1">
      <c r="B756" s="20"/>
    </row>
    <row r="757" ht="15.75" customHeight="1">
      <c r="B757" s="20"/>
    </row>
    <row r="758" ht="15.75" customHeight="1">
      <c r="B758" s="20"/>
    </row>
    <row r="759" ht="15.75" customHeight="1">
      <c r="B759" s="20"/>
    </row>
    <row r="760" ht="15.75" customHeight="1">
      <c r="B760" s="20"/>
    </row>
    <row r="761" ht="15.75" customHeight="1">
      <c r="B761" s="20"/>
    </row>
    <row r="762" ht="15.75" customHeight="1">
      <c r="B762" s="20"/>
    </row>
    <row r="763" ht="15.75" customHeight="1">
      <c r="B763" s="20"/>
    </row>
    <row r="764" ht="15.75" customHeight="1">
      <c r="B764" s="20"/>
    </row>
    <row r="765" ht="15.75" customHeight="1">
      <c r="B765" s="20"/>
    </row>
    <row r="766" ht="15.75" customHeight="1">
      <c r="B766" s="20"/>
    </row>
    <row r="767" ht="15.75" customHeight="1">
      <c r="B767" s="20"/>
    </row>
    <row r="768" ht="15.75" customHeight="1">
      <c r="B768" s="20"/>
    </row>
    <row r="769" ht="15.75" customHeight="1">
      <c r="B769" s="20"/>
    </row>
    <row r="770" ht="15.75" customHeight="1">
      <c r="B770" s="20"/>
    </row>
    <row r="771" ht="15.75" customHeight="1">
      <c r="B771" s="20"/>
    </row>
    <row r="772" ht="15.75" customHeight="1">
      <c r="B772" s="20"/>
    </row>
    <row r="773" ht="15.75" customHeight="1">
      <c r="B773" s="20"/>
    </row>
    <row r="774" ht="15.75" customHeight="1">
      <c r="B774" s="20"/>
    </row>
    <row r="775" ht="15.75" customHeight="1">
      <c r="B775" s="20"/>
    </row>
    <row r="776" ht="15.75" customHeight="1">
      <c r="B776" s="20"/>
    </row>
    <row r="777" ht="15.75" customHeight="1">
      <c r="B777" s="20"/>
    </row>
    <row r="778" ht="15.75" customHeight="1">
      <c r="B778" s="20"/>
    </row>
    <row r="779" ht="15.75" customHeight="1">
      <c r="B779" s="20"/>
    </row>
    <row r="780" ht="15.75" customHeight="1">
      <c r="B780" s="20"/>
    </row>
    <row r="781" ht="15.75" customHeight="1">
      <c r="B781" s="20"/>
    </row>
    <row r="782" ht="15.75" customHeight="1">
      <c r="B782" s="20"/>
    </row>
    <row r="783" ht="15.75" customHeight="1">
      <c r="B783" s="20"/>
    </row>
    <row r="784" ht="15.75" customHeight="1">
      <c r="B784" s="20"/>
    </row>
    <row r="785" ht="15.75" customHeight="1">
      <c r="B785" s="20"/>
    </row>
    <row r="786" ht="15.75" customHeight="1">
      <c r="B786" s="20"/>
    </row>
    <row r="787" ht="15.75" customHeight="1">
      <c r="B787" s="20"/>
    </row>
    <row r="788" ht="15.75" customHeight="1">
      <c r="B788" s="20"/>
    </row>
    <row r="789" ht="15.75" customHeight="1">
      <c r="B789" s="20"/>
    </row>
    <row r="790" ht="15.75" customHeight="1">
      <c r="B790" s="20"/>
    </row>
    <row r="791" ht="15.75" customHeight="1">
      <c r="B791" s="20"/>
    </row>
    <row r="792" ht="15.75" customHeight="1">
      <c r="B792" s="20"/>
    </row>
    <row r="793" ht="15.75" customHeight="1">
      <c r="B793" s="20"/>
    </row>
    <row r="794" ht="15.75" customHeight="1">
      <c r="B794" s="20"/>
    </row>
    <row r="795" ht="15.75" customHeight="1">
      <c r="B795" s="20"/>
    </row>
    <row r="796" ht="15.75" customHeight="1">
      <c r="B796" s="20"/>
    </row>
    <row r="797" ht="15.75" customHeight="1">
      <c r="B797" s="20"/>
    </row>
    <row r="798" ht="15.75" customHeight="1">
      <c r="B798" s="20"/>
    </row>
    <row r="799" ht="15.75" customHeight="1">
      <c r="B799" s="20"/>
    </row>
    <row r="800" ht="15.75" customHeight="1">
      <c r="B800" s="20"/>
    </row>
    <row r="801" ht="15.75" customHeight="1">
      <c r="B801" s="20"/>
    </row>
    <row r="802" ht="15.75" customHeight="1">
      <c r="B802" s="20"/>
    </row>
    <row r="803" ht="15.75" customHeight="1">
      <c r="B803" s="20"/>
    </row>
    <row r="804" ht="15.75" customHeight="1">
      <c r="B804" s="20"/>
    </row>
    <row r="805" ht="15.75" customHeight="1">
      <c r="B805" s="20"/>
    </row>
    <row r="806" ht="15.75" customHeight="1">
      <c r="B806" s="20"/>
    </row>
    <row r="807" ht="15.75" customHeight="1">
      <c r="B807" s="20"/>
    </row>
    <row r="808" ht="15.75" customHeight="1">
      <c r="B808" s="20"/>
    </row>
    <row r="809" ht="15.75" customHeight="1">
      <c r="B809" s="20"/>
    </row>
    <row r="810" ht="15.75" customHeight="1">
      <c r="B810" s="20"/>
    </row>
    <row r="811" ht="15.75" customHeight="1">
      <c r="B811" s="20"/>
    </row>
    <row r="812" ht="15.75" customHeight="1">
      <c r="B812" s="20"/>
    </row>
    <row r="813" ht="15.75" customHeight="1">
      <c r="B813" s="20"/>
    </row>
    <row r="814" ht="15.75" customHeight="1">
      <c r="B814" s="20"/>
    </row>
    <row r="815" ht="15.75" customHeight="1">
      <c r="B815" s="20"/>
    </row>
    <row r="816" ht="15.75" customHeight="1">
      <c r="B816" s="20"/>
    </row>
    <row r="817" ht="15.75" customHeight="1">
      <c r="B817" s="20"/>
    </row>
    <row r="818" ht="15.75" customHeight="1">
      <c r="B818" s="20"/>
    </row>
    <row r="819" ht="15.75" customHeight="1">
      <c r="B819" s="20"/>
    </row>
    <row r="820" ht="15.75" customHeight="1">
      <c r="B820" s="20"/>
    </row>
    <row r="821" ht="15.75" customHeight="1">
      <c r="B821" s="20"/>
    </row>
    <row r="822" ht="15.75" customHeight="1">
      <c r="B822" s="20"/>
    </row>
    <row r="823" ht="15.75" customHeight="1">
      <c r="B823" s="20"/>
    </row>
    <row r="824" ht="15.75" customHeight="1">
      <c r="B824" s="20"/>
    </row>
    <row r="825" ht="15.75" customHeight="1">
      <c r="B825" s="20"/>
    </row>
    <row r="826" ht="15.75" customHeight="1">
      <c r="B826" s="20"/>
    </row>
    <row r="827" ht="15.75" customHeight="1">
      <c r="B827" s="20"/>
    </row>
    <row r="828" ht="15.75" customHeight="1">
      <c r="B828" s="20"/>
    </row>
    <row r="829" ht="15.75" customHeight="1">
      <c r="B829" s="20"/>
    </row>
    <row r="830" ht="15.75" customHeight="1">
      <c r="B830" s="20"/>
    </row>
    <row r="831" ht="15.75" customHeight="1">
      <c r="B831" s="20"/>
    </row>
    <row r="832" ht="15.75" customHeight="1">
      <c r="B832" s="20"/>
    </row>
    <row r="833" ht="15.75" customHeight="1">
      <c r="B833" s="20"/>
    </row>
    <row r="834" ht="15.75" customHeight="1">
      <c r="B834" s="20"/>
    </row>
    <row r="835" ht="15.75" customHeight="1">
      <c r="B835" s="20"/>
    </row>
    <row r="836" ht="15.75" customHeight="1">
      <c r="B836" s="20"/>
    </row>
    <row r="837" ht="15.75" customHeight="1">
      <c r="B837" s="20"/>
    </row>
    <row r="838" ht="15.75" customHeight="1">
      <c r="B838" s="20"/>
    </row>
    <row r="839" ht="15.75" customHeight="1">
      <c r="B839" s="20"/>
    </row>
    <row r="840" ht="15.75" customHeight="1">
      <c r="B840" s="20"/>
    </row>
    <row r="841" ht="15.75" customHeight="1">
      <c r="B841" s="20"/>
    </row>
    <row r="842" ht="15.75" customHeight="1">
      <c r="B842" s="20"/>
    </row>
    <row r="843" ht="15.75" customHeight="1">
      <c r="B843" s="20"/>
    </row>
    <row r="844" ht="15.75" customHeight="1">
      <c r="B844" s="20"/>
    </row>
    <row r="845" ht="15.75" customHeight="1">
      <c r="B845" s="20"/>
    </row>
    <row r="846" ht="15.75" customHeight="1">
      <c r="B846" s="20"/>
    </row>
    <row r="847" ht="15.75" customHeight="1">
      <c r="B847" s="20"/>
    </row>
    <row r="848" ht="15.75" customHeight="1">
      <c r="B848" s="20"/>
    </row>
    <row r="849" ht="15.75" customHeight="1">
      <c r="B849" s="20"/>
    </row>
    <row r="850" ht="15.75" customHeight="1">
      <c r="B850" s="20"/>
    </row>
    <row r="851" ht="15.75" customHeight="1">
      <c r="B851" s="20"/>
    </row>
    <row r="852" ht="15.75" customHeight="1">
      <c r="B852" s="20"/>
    </row>
    <row r="853" ht="15.75" customHeight="1">
      <c r="B853" s="20"/>
    </row>
    <row r="854" ht="15.75" customHeight="1">
      <c r="B854" s="20"/>
    </row>
    <row r="855" ht="15.75" customHeight="1">
      <c r="B855" s="20"/>
    </row>
    <row r="856" ht="15.75" customHeight="1">
      <c r="B856" s="20"/>
    </row>
    <row r="857" ht="15.75" customHeight="1">
      <c r="B857" s="20"/>
    </row>
    <row r="858" ht="15.75" customHeight="1">
      <c r="B858" s="20"/>
    </row>
    <row r="859" ht="15.75" customHeight="1">
      <c r="B859" s="20"/>
    </row>
    <row r="860" ht="15.75" customHeight="1">
      <c r="B860" s="20"/>
    </row>
    <row r="861" ht="15.75" customHeight="1">
      <c r="B861" s="20"/>
    </row>
    <row r="862" ht="15.75" customHeight="1">
      <c r="B862" s="20"/>
    </row>
    <row r="863" ht="15.75" customHeight="1">
      <c r="B863" s="20"/>
    </row>
    <row r="864" ht="15.75" customHeight="1">
      <c r="B864" s="20"/>
    </row>
    <row r="865" ht="15.75" customHeight="1">
      <c r="B865" s="20"/>
    </row>
    <row r="866" ht="15.75" customHeight="1">
      <c r="B866" s="20"/>
    </row>
    <row r="867" ht="15.75" customHeight="1">
      <c r="B867" s="20"/>
    </row>
    <row r="868" ht="15.75" customHeight="1">
      <c r="B868" s="20"/>
    </row>
    <row r="869" ht="15.75" customHeight="1">
      <c r="B869" s="20"/>
    </row>
    <row r="870" ht="15.75" customHeight="1">
      <c r="B870" s="20"/>
    </row>
    <row r="871" ht="15.75" customHeight="1">
      <c r="B871" s="20"/>
    </row>
    <row r="872" ht="15.75" customHeight="1">
      <c r="B872" s="20"/>
    </row>
    <row r="873" ht="15.75" customHeight="1">
      <c r="B873" s="20"/>
    </row>
    <row r="874" ht="15.75" customHeight="1">
      <c r="B874" s="20"/>
    </row>
    <row r="875" ht="15.75" customHeight="1">
      <c r="B875" s="20"/>
    </row>
    <row r="876" ht="15.75" customHeight="1">
      <c r="B876" s="20"/>
    </row>
    <row r="877" ht="15.75" customHeight="1">
      <c r="B877" s="20"/>
    </row>
    <row r="878" ht="15.75" customHeight="1">
      <c r="B878" s="20"/>
    </row>
    <row r="879" ht="15.75" customHeight="1">
      <c r="B879" s="20"/>
    </row>
    <row r="880" ht="15.75" customHeight="1">
      <c r="B880" s="20"/>
    </row>
    <row r="881" ht="15.75" customHeight="1">
      <c r="B881" s="20"/>
    </row>
    <row r="882" ht="15.75" customHeight="1">
      <c r="B882" s="20"/>
    </row>
    <row r="883" ht="15.75" customHeight="1">
      <c r="B883" s="20"/>
    </row>
    <row r="884" ht="15.75" customHeight="1">
      <c r="B884" s="20"/>
    </row>
    <row r="885" ht="15.75" customHeight="1">
      <c r="B885" s="20"/>
    </row>
    <row r="886" ht="15.75" customHeight="1">
      <c r="B886" s="20"/>
    </row>
    <row r="887" ht="15.75" customHeight="1">
      <c r="B887" s="20"/>
    </row>
    <row r="888" ht="15.75" customHeight="1">
      <c r="B888" s="20"/>
    </row>
    <row r="889" ht="15.75" customHeight="1">
      <c r="B889" s="20"/>
    </row>
    <row r="890" ht="15.75" customHeight="1">
      <c r="B890" s="20"/>
    </row>
    <row r="891" ht="15.75" customHeight="1">
      <c r="B891" s="20"/>
    </row>
    <row r="892" ht="15.75" customHeight="1">
      <c r="B892" s="20"/>
    </row>
    <row r="893" ht="15.75" customHeight="1">
      <c r="B893" s="20"/>
    </row>
    <row r="894" ht="15.75" customHeight="1">
      <c r="B894" s="20"/>
    </row>
    <row r="895" ht="15.75" customHeight="1">
      <c r="B895" s="20"/>
    </row>
    <row r="896" ht="15.75" customHeight="1">
      <c r="B896" s="20"/>
    </row>
    <row r="897" ht="15.75" customHeight="1">
      <c r="B897" s="20"/>
    </row>
    <row r="898" ht="15.75" customHeight="1">
      <c r="B898" s="20"/>
    </row>
    <row r="899" ht="15.75" customHeight="1">
      <c r="B899" s="20"/>
    </row>
    <row r="900" ht="15.75" customHeight="1">
      <c r="B900" s="20"/>
    </row>
    <row r="901" ht="15.75" customHeight="1">
      <c r="B901" s="20"/>
    </row>
    <row r="902" ht="15.75" customHeight="1">
      <c r="B902" s="20"/>
    </row>
    <row r="903" ht="15.75" customHeight="1">
      <c r="B903" s="20"/>
    </row>
    <row r="904" ht="15.75" customHeight="1">
      <c r="B904" s="20"/>
    </row>
    <row r="905" ht="15.75" customHeight="1">
      <c r="B905" s="20"/>
    </row>
    <row r="906" ht="15.75" customHeight="1">
      <c r="B906" s="20"/>
    </row>
    <row r="907" ht="15.75" customHeight="1">
      <c r="B907" s="20"/>
    </row>
    <row r="908" ht="15.75" customHeight="1">
      <c r="B908" s="20"/>
    </row>
    <row r="909" ht="15.75" customHeight="1">
      <c r="B909" s="20"/>
    </row>
    <row r="910" ht="15.75" customHeight="1">
      <c r="B910" s="20"/>
    </row>
    <row r="911" ht="15.75" customHeight="1">
      <c r="B911" s="20"/>
    </row>
    <row r="912" ht="15.75" customHeight="1">
      <c r="B912" s="20"/>
    </row>
    <row r="913" ht="15.75" customHeight="1">
      <c r="B913" s="20"/>
    </row>
    <row r="914" ht="15.75" customHeight="1">
      <c r="B914" s="20"/>
    </row>
    <row r="915" ht="15.75" customHeight="1">
      <c r="B915" s="20"/>
    </row>
    <row r="916" ht="15.75" customHeight="1">
      <c r="B916" s="20"/>
    </row>
    <row r="917" ht="15.75" customHeight="1">
      <c r="B917" s="20"/>
    </row>
    <row r="918" ht="15.75" customHeight="1">
      <c r="B918" s="20"/>
    </row>
    <row r="919" ht="15.75" customHeight="1">
      <c r="B919" s="20"/>
    </row>
    <row r="920" ht="15.75" customHeight="1">
      <c r="B920" s="20"/>
    </row>
    <row r="921" ht="15.75" customHeight="1">
      <c r="B921" s="20"/>
    </row>
    <row r="922" ht="15.75" customHeight="1">
      <c r="B922" s="20"/>
    </row>
    <row r="923" ht="15.75" customHeight="1">
      <c r="B923" s="20"/>
    </row>
    <row r="924" ht="15.75" customHeight="1">
      <c r="B924" s="20"/>
    </row>
    <row r="925" ht="15.75" customHeight="1">
      <c r="B925" s="20"/>
    </row>
    <row r="926" ht="15.75" customHeight="1">
      <c r="B926" s="20"/>
    </row>
    <row r="927" ht="15.75" customHeight="1">
      <c r="B927" s="20"/>
    </row>
    <row r="928" ht="15.75" customHeight="1">
      <c r="B928" s="20"/>
    </row>
    <row r="929" ht="15.75" customHeight="1">
      <c r="B929" s="20"/>
    </row>
    <row r="930" ht="15.75" customHeight="1">
      <c r="B930" s="20"/>
    </row>
    <row r="931" ht="15.75" customHeight="1">
      <c r="B931" s="20"/>
    </row>
    <row r="932" ht="15.75" customHeight="1">
      <c r="B932" s="20"/>
    </row>
    <row r="933" ht="15.75" customHeight="1">
      <c r="B933" s="20"/>
    </row>
    <row r="934" ht="15.75" customHeight="1">
      <c r="B934" s="20"/>
    </row>
    <row r="935" ht="15.75" customHeight="1">
      <c r="B935" s="20"/>
    </row>
    <row r="936" ht="15.75" customHeight="1">
      <c r="B936" s="20"/>
    </row>
    <row r="937" ht="15.75" customHeight="1">
      <c r="B937" s="20"/>
    </row>
    <row r="938" ht="15.75" customHeight="1">
      <c r="B938" s="20"/>
    </row>
    <row r="939" ht="15.75" customHeight="1">
      <c r="B939" s="20"/>
    </row>
    <row r="940" ht="15.75" customHeight="1">
      <c r="B940" s="20"/>
    </row>
    <row r="941" ht="15.75" customHeight="1">
      <c r="B941" s="20"/>
    </row>
    <row r="942" ht="15.75" customHeight="1">
      <c r="B942" s="20"/>
    </row>
    <row r="943" ht="15.75" customHeight="1">
      <c r="B943" s="20"/>
    </row>
    <row r="944" ht="15.75" customHeight="1">
      <c r="B944" s="20"/>
    </row>
    <row r="945" ht="15.75" customHeight="1">
      <c r="B945" s="20"/>
    </row>
    <row r="946" ht="15.75" customHeight="1">
      <c r="B946" s="20"/>
    </row>
    <row r="947" ht="15.75" customHeight="1">
      <c r="B947" s="20"/>
    </row>
    <row r="948" ht="15.75" customHeight="1">
      <c r="B948" s="20"/>
    </row>
    <row r="949" ht="15.75" customHeight="1">
      <c r="B949" s="20"/>
    </row>
    <row r="950" ht="15.75" customHeight="1">
      <c r="B950" s="20"/>
    </row>
    <row r="951" ht="15.75" customHeight="1">
      <c r="B951" s="20"/>
    </row>
    <row r="952" ht="15.75" customHeight="1">
      <c r="B952" s="20"/>
    </row>
    <row r="953" ht="15.75" customHeight="1">
      <c r="B953" s="20"/>
    </row>
    <row r="954" ht="15.75" customHeight="1">
      <c r="B954" s="20"/>
    </row>
    <row r="955" ht="15.75" customHeight="1">
      <c r="B955" s="20"/>
    </row>
    <row r="956" ht="15.75" customHeight="1">
      <c r="B956" s="20"/>
    </row>
    <row r="957" ht="15.75" customHeight="1">
      <c r="B957" s="20"/>
    </row>
    <row r="958" ht="15.75" customHeight="1">
      <c r="B958" s="20"/>
    </row>
    <row r="959" ht="15.75" customHeight="1">
      <c r="B959" s="20"/>
    </row>
    <row r="960" ht="15.75" customHeight="1">
      <c r="B960" s="20"/>
    </row>
    <row r="961" ht="15.75" customHeight="1">
      <c r="B961" s="20"/>
    </row>
    <row r="962" ht="15.75" customHeight="1">
      <c r="B962" s="20"/>
    </row>
    <row r="963" ht="15.75" customHeight="1">
      <c r="B963" s="20"/>
    </row>
    <row r="964" ht="15.75" customHeight="1">
      <c r="B964" s="20"/>
    </row>
    <row r="965" ht="15.75" customHeight="1">
      <c r="B965" s="20"/>
    </row>
    <row r="966" ht="15.75" customHeight="1">
      <c r="B966" s="20"/>
    </row>
    <row r="967" ht="15.75" customHeight="1">
      <c r="B967" s="20"/>
    </row>
    <row r="968" ht="15.75" customHeight="1">
      <c r="B968" s="20"/>
    </row>
    <row r="969" ht="15.75" customHeight="1">
      <c r="B969" s="20"/>
    </row>
    <row r="970" ht="15.75" customHeight="1">
      <c r="B970" s="20"/>
    </row>
    <row r="971" ht="15.75" customHeight="1">
      <c r="B971" s="20"/>
    </row>
    <row r="972" ht="15.75" customHeight="1">
      <c r="B972" s="20"/>
    </row>
    <row r="973" ht="15.75" customHeight="1">
      <c r="B973" s="20"/>
    </row>
    <row r="974" ht="15.75" customHeight="1">
      <c r="B974" s="20"/>
    </row>
    <row r="975" ht="15.75" customHeight="1">
      <c r="B975" s="20"/>
    </row>
    <row r="976" ht="15.75" customHeight="1">
      <c r="B976" s="20"/>
    </row>
    <row r="977" ht="15.75" customHeight="1">
      <c r="B977" s="20"/>
    </row>
    <row r="978" ht="15.75" customHeight="1">
      <c r="B978" s="20"/>
    </row>
    <row r="979" ht="15.75" customHeight="1">
      <c r="B979" s="20"/>
    </row>
    <row r="980" ht="15.75" customHeight="1">
      <c r="B980" s="20"/>
    </row>
    <row r="981" ht="15.75" customHeight="1">
      <c r="B981" s="20"/>
    </row>
    <row r="982" ht="15.75" customHeight="1">
      <c r="B982" s="20"/>
    </row>
    <row r="983" ht="15.75" customHeight="1">
      <c r="B983" s="20"/>
    </row>
    <row r="984" ht="15.75" customHeight="1">
      <c r="B984" s="20"/>
    </row>
    <row r="985" ht="15.75" customHeight="1">
      <c r="B985" s="20"/>
    </row>
    <row r="986" ht="15.75" customHeight="1">
      <c r="B986" s="20"/>
    </row>
    <row r="987" ht="15.75" customHeight="1">
      <c r="B987" s="20"/>
    </row>
    <row r="988" ht="15.75" customHeight="1">
      <c r="B988" s="20"/>
    </row>
    <row r="989" ht="15.75" customHeight="1">
      <c r="B989" s="20"/>
    </row>
    <row r="990" ht="15.75" customHeight="1">
      <c r="B990" s="20"/>
    </row>
    <row r="991" ht="15.75" customHeight="1">
      <c r="B991" s="20"/>
    </row>
    <row r="992" ht="15.75" customHeight="1">
      <c r="B992" s="20"/>
    </row>
    <row r="993" ht="15.75" customHeight="1">
      <c r="B993" s="20"/>
    </row>
    <row r="994" ht="15.75" customHeight="1">
      <c r="B994" s="20"/>
    </row>
    <row r="995" ht="15.75" customHeight="1">
      <c r="B995" s="20"/>
    </row>
    <row r="996" ht="15.75" customHeight="1">
      <c r="B996" s="20"/>
    </row>
    <row r="997" ht="15.75" customHeight="1">
      <c r="B997" s="20"/>
    </row>
    <row r="998" ht="15.75" customHeight="1">
      <c r="B998" s="20"/>
    </row>
    <row r="999" ht="15.75" customHeight="1">
      <c r="B999" s="20"/>
    </row>
    <row r="1000" ht="15.75" customHeight="1">
      <c r="B1000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2024-04-10T07:46:11Z</dcterms:created>
  <dc:creator>Aitor Anitua</dc:creator>
</cp:coreProperties>
</file>